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EM\Desktop\"/>
    </mc:Choice>
  </mc:AlternateContent>
  <xr:revisionPtr revIDLastSave="0" documentId="8_{5610811C-C7D0-4D06-A8B9-3BED537234E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Склад" sheetId="1" r:id="rId1"/>
    <sheet name="Аэропорт" sheetId="2" r:id="rId2"/>
    <sheet name="Медучреждение" sheetId="3" r:id="rId3"/>
    <sheet name="Легенда и использование" sheetId="4" r:id="rId4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2" l="1"/>
  <c r="E28" i="2"/>
  <c r="C28" i="2"/>
</calcChain>
</file>

<file path=xl/sharedStrings.xml><?xml version="1.0" encoding="utf-8"?>
<sst xmlns="http://schemas.openxmlformats.org/spreadsheetml/2006/main" count="547" uniqueCount="382">
  <si>
    <t>ДЕМО-ДАТАСЕТ: СКЛАД (объект для расчёта роботизации)</t>
  </si>
  <si>
    <t>Параметр</t>
  </si>
  <si>
    <t>Ед. изм.</t>
  </si>
  <si>
    <t>Базовое значение</t>
  </si>
  <si>
    <t>Диапазон (min)</t>
  </si>
  <si>
    <t>Диапазон (max)</t>
  </si>
  <si>
    <t>Примечание / источник допущения</t>
  </si>
  <si>
    <t>▌ ОБЩИЕ ПАРАМЕТРЫ ОБЪЕКТА</t>
  </si>
  <si>
    <t>Общая площадь склада</t>
  </si>
  <si>
    <t>м²</t>
  </si>
  <si>
    <t>Типичный FFC/RDC в логистическом парке. Источник: отраслевые бенчмарки РФ 2023–2024</t>
  </si>
  <si>
    <t>Площадь активной (роботизируемой) зоны</t>
  </si>
  <si>
    <t>Высота потолков в зоне хранения</t>
  </si>
  <si>
    <t>м</t>
  </si>
  <si>
    <t>Количество этажей (мезонинов)</t>
  </si>
  <si>
    <t>шт.</t>
  </si>
  <si>
    <t>Ширина главных проездов</t>
  </si>
  <si>
    <t>Определяет допустимые габариты робота</t>
  </si>
  <si>
    <t>Ширина рабочих проходов между стеллажами</t>
  </si>
  <si>
    <t>Тип напольного покрытия</t>
  </si>
  <si>
    <t>Промышленный бетон</t>
  </si>
  <si>
    <t>Ровность пола (отклонение)</t>
  </si>
  <si>
    <t>мм/2м</t>
  </si>
  <si>
    <t>DIN 15185 или FM2. Критично для AutoStore и высотных решений</t>
  </si>
  <si>
    <t>▌ РЕЖИМ РАБОТЫ</t>
  </si>
  <si>
    <t>Количество рабочих смен в сутки</t>
  </si>
  <si>
    <t>смен</t>
  </si>
  <si>
    <t>Рабочих дней в году</t>
  </si>
  <si>
    <t>дн.</t>
  </si>
  <si>
    <t>Продолжительность смены</t>
  </si>
  <si>
    <t>ч</t>
  </si>
  <si>
    <t>С учётом перерывов на обед и техн. пауз</t>
  </si>
  <si>
    <t>Пиковый коэффициент нагрузки</t>
  </si>
  <si>
    <t>Отношение макс. часовой нагрузки к среднечасовой. e-com: до 2.5</t>
  </si>
  <si>
    <t>▌ ОПЕРАЦИИ: ОБЪЁМ И ПРОИЗВОДИТЕЛЬНОСТЬ</t>
  </si>
  <si>
    <t>Объём приёмки (поддоны/сутки)</t>
  </si>
  <si>
    <t>поддон/сут</t>
  </si>
  <si>
    <t>Входящий поток. 1 еврооддон ≈ 33 короба</t>
  </si>
  <si>
    <t>Объём отгрузки (поддоны/сутки)</t>
  </si>
  <si>
    <t>Исходящий поток. Включая консолидацию</t>
  </si>
  <si>
    <t>Объём отбора (строк/сутки, всего)</t>
  </si>
  <si>
    <t>строк/сут</t>
  </si>
  <si>
    <t>Объём отбора (штук/сутки, всего)</t>
  </si>
  <si>
    <t>шт./сут</t>
  </si>
  <si>
    <t>%</t>
  </si>
  <si>
    <t>Количество SKU (активных)</t>
  </si>
  <si>
    <t>SKU</t>
  </si>
  <si>
    <t>Влияет на сложность маршрутизации и алгоритм слотирования</t>
  </si>
  <si>
    <t>Доля SKU с быстрым оборотом (A-класс)</t>
  </si>
  <si>
    <t>▌ ПЕРСОНАЛ</t>
  </si>
  <si>
    <t>Общая численность персонала склада</t>
  </si>
  <si>
    <t>чел.</t>
  </si>
  <si>
    <t>Включая ИТР, кладовщиков, водителей погрузчиков, уборку</t>
  </si>
  <si>
    <t>Из них: операторы погрузчиков</t>
  </si>
  <si>
    <t>Целевая функция для автономных погрузчиков / VNA</t>
  </si>
  <si>
    <t>Из них: операторы упаковочных линий</t>
  </si>
  <si>
    <t>Частично автоматизируется коботами</t>
  </si>
  <si>
    <t>Средняя з/п отборщика (gross)</t>
  </si>
  <si>
    <t>руб./мес.</t>
  </si>
  <si>
    <t>Средняя з/п оператора погрузчика (gross)</t>
  </si>
  <si>
    <t>Квалификация выше; дефицит на рынке</t>
  </si>
  <si>
    <t>Коэффициент начислений на ФОТ (страховые взносы)</t>
  </si>
  <si>
    <t>ОПФ 22% + ОМС 5.1% + ОСС 2.9% + НСиПЗ 0.2% = 30.2%</t>
  </si>
  <si>
    <t>Средняя выработка отборщика (строк/ч)</t>
  </si>
  <si>
    <t>строк/ч·чел</t>
  </si>
  <si>
    <t>Коэффициент потерь рабочего времени (отпуск, болезнь, текучесть)</t>
  </si>
  <si>
    <t>Для расчёта потребной численности: +25% к нормативной</t>
  </si>
  <si>
    <t>▌ МАРШРУТЫ И ПЛАНИРОВКА</t>
  </si>
  <si>
    <t>Средняя длина маршрута отборщика на 1 строку</t>
  </si>
  <si>
    <t>Зависит от размера склада и системы слотирования</t>
  </si>
  <si>
    <t>Протяжённость конвейерной/транспортной системы</t>
  </si>
  <si>
    <t>0 если её нет; учитывается при выборе решения</t>
  </si>
  <si>
    <t>▌ ХРАНЕНИЕ И ХАРАКТЕРИСТИКИ ГРУЗОВ</t>
  </si>
  <si>
    <t>Тип стеллажной системы</t>
  </si>
  <si>
    <t>Фронтальные паллетные</t>
  </si>
  <si>
    <t>Альтернативы: Shuttle, AutoStore, Miniload, Drive-in, Push-back</t>
  </si>
  <si>
    <t>Количество паллетомест</t>
  </si>
  <si>
    <t>м/п</t>
  </si>
  <si>
    <t>Ёмкость склада</t>
  </si>
  <si>
    <t>Средняя масса грузовой единицы (паллет)</t>
  </si>
  <si>
    <t>кг</t>
  </si>
  <si>
    <t>Средняя масса штучной единицы (SKU)</t>
  </si>
  <si>
    <t>Средние габариты паллеты (Д×Ш×В)</t>
  </si>
  <si>
    <t>мм</t>
  </si>
  <si>
    <t>1200×800×1600</t>
  </si>
  <si>
    <t>Средние габариты штучной единицы (Д×Ш×В)</t>
  </si>
  <si>
    <t>300×200×150</t>
  </si>
  <si>
    <t>Среднестатистический короб</t>
  </si>
  <si>
    <t>°C</t>
  </si>
  <si>
    <t>Доля негабаритных/нестандартных грузов</t>
  </si>
  <si>
    <t>▌ ИНФРАСТРУКТУРА И ОГРАНИЧЕНИЯ</t>
  </si>
  <si>
    <t>Мощность электроснабжения (доступная)</t>
  </si>
  <si>
    <t>кВт</t>
  </si>
  <si>
    <t>Наличие WMS</t>
  </si>
  <si>
    <t>Наличие ERP/1С</t>
  </si>
  <si>
    <t>1С:ERP</t>
  </si>
  <si>
    <t>Интеграция через REST API или COM-коннектор</t>
  </si>
  <si>
    <t>Планируемый бюджет на роботизацию (CAPEX)</t>
  </si>
  <si>
    <t>млн руб.</t>
  </si>
  <si>
    <t>Ориентир для фильтрации решений. Лизинг/RaaS — альтернатива</t>
  </si>
  <si>
    <t>Горизонт расчёта окупаемости</t>
  </si>
  <si>
    <t>лет</t>
  </si>
  <si>
    <t>Типовой горизонт ТЭО для складской автоматизации</t>
  </si>
  <si>
    <t>ДЕМО-ДАТАСЕТ: АЭРОПОРТ (объект для расчёта роботизации)</t>
  </si>
  <si>
    <t>Площадь перрона и технических зон</t>
  </si>
  <si>
    <t>Количество терминалов</t>
  </si>
  <si>
    <t>Количество выходов на посадку (гейтов)</t>
  </si>
  <si>
    <t>Влияет на маршруты доставки и кол-во роботов</t>
  </si>
  <si>
    <t>Количество взлётно-посадочных полос</t>
  </si>
  <si>
    <t>Контекст масштаба аэропорта</t>
  </si>
  <si>
    <t>▌ ПАССАЖИРСКИЙ ПОТОК</t>
  </si>
  <si>
    <t>Пассажиропоток (млн пассажиров/год)</t>
  </si>
  <si>
    <t>млн пасс./год</t>
  </si>
  <si>
    <t>Среднесуточное количество пассажиров</t>
  </si>
  <si>
    <t>пасс./сут</t>
  </si>
  <si>
    <t>(= Годовой поток / 365)</t>
  </si>
  <si>
    <t>Пиковое количество пассажиров в час (PHF)</t>
  </si>
  <si>
    <t>пасс./ч</t>
  </si>
  <si>
    <t>Доля трансферных пассажиров</t>
  </si>
  <si>
    <t>Количество стоек регистрации</t>
  </si>
  <si>
    <t>Целевая зона для роботов сопровождения и аэропортовых тележек</t>
  </si>
  <si>
    <t>▌ АВИАЦИОННОЕ НАЗЕМНОЕ ОБСЛУЖИВАНИЕ (RAMP)</t>
  </si>
  <si>
    <t>Среднесуточное количество рейсов (взлёт+посадка)</t>
  </si>
  <si>
    <t>рейсов/сут</t>
  </si>
  <si>
    <t>Пиковое количество рейсов в час</t>
  </si>
  <si>
    <t>рейсов/ч</t>
  </si>
  <si>
    <t>Для расчёта пиковой потребности в спецтехнике</t>
  </si>
  <si>
    <t>Среднее время оборота воздушного судна (TAT)</t>
  </si>
  <si>
    <t>мин</t>
  </si>
  <si>
    <t>Turnaround Time: посадка → взлёт. Ключевой KPI перрона</t>
  </si>
  <si>
    <t>Среднее количество операций наземного обслуживания на 1 рейс</t>
  </si>
  <si>
    <t>операций</t>
  </si>
  <si>
    <t>Буксировка, питание, заправка, уборка, разгрузка/погрузка</t>
  </si>
  <si>
    <t>Объём перемещения багажа (единиц/сутки)</t>
  </si>
  <si>
    <t>ед./сут</t>
  </si>
  <si>
    <t>Целевой KPI для багажных AMR и сортировочных систем</t>
  </si>
  <si>
    <t>Средняя масса единицы багажа</t>
  </si>
  <si>
    <t>Для расчёта грузоподъёмности багажных роботов</t>
  </si>
  <si>
    <t>Количество стоек выдачи багажа (каруселей)</t>
  </si>
  <si>
    <t>Целевая зона автоматической сортировки</t>
  </si>
  <si>
    <t>Объём бортового питания (порций/сутки)</t>
  </si>
  <si>
    <t>порций/сут</t>
  </si>
  <si>
    <t>Цель: автономные тележки доставки питания на борт</t>
  </si>
  <si>
    <t>Объём заправки воздушных судов (рейсов/сут)</t>
  </si>
  <si>
    <t>Потенциал: автономные топливозаправщики</t>
  </si>
  <si>
    <t>▌ ВНУТРИПОРТОВАЯ ЛОГИСТИКА И УБОРКА</t>
  </si>
  <si>
    <t>Суточное количество рейсов внутренних грузовых тележек (внутри терминала)</t>
  </si>
  <si>
    <t>Перемещение грузов, расходников, отходов внутри терминала</t>
  </si>
  <si>
    <t>Количество уборочных машин (терминал)</t>
  </si>
  <si>
    <t>Замена: автономные поломоечные машины (Karcher, Nilfisk и др.)</t>
  </si>
  <si>
    <t>Площадь, убираемая роботизированной уборкой</t>
  </si>
  <si>
    <t>Суточный объём вывоза мусора (контейнеров)</t>
  </si>
  <si>
    <t>конт./сут</t>
  </si>
  <si>
    <t>AMR-платформы для вывоза мусорных тележек</t>
  </si>
  <si>
    <t>Численность персонала наземного обслуживания (рамп)</t>
  </si>
  <si>
    <t>Численность персонала внутри терминала (логистика, уборка)</t>
  </si>
  <si>
    <t>Уборщики, курьеры, грузчики терминала</t>
  </si>
  <si>
    <t>Средняя з/п сотрудника наземного обслуживания (gross)</t>
  </si>
  <si>
    <t>Средняя з/п уборщика терминала (gross)</t>
  </si>
  <si>
    <t>Коэффициент начислений на ФОТ</t>
  </si>
  <si>
    <t>Аналогично складу</t>
  </si>
  <si>
    <t>Годовая текучесть (персонал терминала)</t>
  </si>
  <si>
    <t>▌ БЕЗОПАСНОСТЬ И ОГРАНИЧЕНИЯ</t>
  </si>
  <si>
    <t>Зонирование (количество режимных зон)</t>
  </si>
  <si>
    <t>Airside, Landside, стерильная зона, перрон — у каждой свои допуски</t>
  </si>
  <si>
    <t>Наличие системы контроля доступа (СКУД)</t>
  </si>
  <si>
    <t>Да (OSDP)</t>
  </si>
  <si>
    <t>AMR должны интегрироваться со СКУД для прохода через двери</t>
  </si>
  <si>
    <t>Требования по сертификации оборудования для airside</t>
  </si>
  <si>
    <t>EASA/ИКАО</t>
  </si>
  <si>
    <t>Серьёзный барьер: не все роботы допущены на перрон</t>
  </si>
  <si>
    <t>Ограничения по уровню шума (зона)</t>
  </si>
  <si>
    <t>дБА</t>
  </si>
  <si>
    <t>Критично для работы AMR в ночное время</t>
  </si>
  <si>
    <t>Температура в неотапливаемых зонах (перрон, зима)</t>
  </si>
  <si>
    <t>▌ ИНФРАСТРУКТУРА</t>
  </si>
  <si>
    <t>Наличие FIDS/AODB системы</t>
  </si>
  <si>
    <t>Да</t>
  </si>
  <si>
    <t>Наличие BMS (системы управления зданием)</t>
  </si>
  <si>
    <t>Да (частично)</t>
  </si>
  <si>
    <t>Интеграция AMR с лифтами, дверями, освещением</t>
  </si>
  <si>
    <t>Доступная мощность для зарядной инфраструктуры</t>
  </si>
  <si>
    <t>Дополнительные требования к электроснабжению</t>
  </si>
  <si>
    <t>ДЕМО-ДАТАСЕТ: МЕДИЦИНСКОЕ УЧРЕЖДЕНИЕ (объект для расчёта роботизации)</t>
  </si>
  <si>
    <t>Тип медицинского учреждения</t>
  </si>
  <si>
    <t>Многопрофильная больница</t>
  </si>
  <si>
    <t>Варианты: Поликлиника / Многопрофильная больница / Онкоцентр / Диагностический центр</t>
  </si>
  <si>
    <t>Общая площадь здания(й)</t>
  </si>
  <si>
    <t>Площадь влияет на длину маршрутов и кол-во роботов</t>
  </si>
  <si>
    <t>Количество этажей (основной корпус)</t>
  </si>
  <si>
    <t>Лифты — ключевой элемент интеграции. Н≥5 этажей = обязательные лифты</t>
  </si>
  <si>
    <t>Количество лифтов (грузовых/медицинских)</t>
  </si>
  <si>
    <t>Количество коек (стационар)</t>
  </si>
  <si>
    <t>коек</t>
  </si>
  <si>
    <t>Основная нагрузка: питание, бельё, медикаменты на койку/сутки</t>
  </si>
  <si>
    <t>Коечный фонд в эксплуатации (средняя занятость)</t>
  </si>
  <si>
    <t>Источник: Минздрав РФ, среднее по ЦФО 2023</t>
  </si>
  <si>
    <t>Количество операционных</t>
  </si>
  <si>
    <t>Доставка стерильных наборов — высокоприоритетный сценарий</t>
  </si>
  <si>
    <t>Количество амбулаторных посещений в сутки</t>
  </si>
  <si>
    <t>посещений/сут</t>
  </si>
  <si>
    <t>Поликлиника. Влияет на доставку анализов</t>
  </si>
  <si>
    <t>Режим работы стационара</t>
  </si>
  <si>
    <t>24/7/365</t>
  </si>
  <si>
    <t>Стационар = круглосуточно. Определяет требование к надёжности робота</t>
  </si>
  <si>
    <t>Режим работы амбулатории</t>
  </si>
  <si>
    <t>Поликлиника работает в рабочие дни</t>
  </si>
  <si>
    <t>Количество смен медперсонала (уход за пациентами)</t>
  </si>
  <si>
    <t>смен/сут</t>
  </si>
  <si>
    <t>3 смены по 8 ч или 2 по 12 ч (зависит от учреждения)</t>
  </si>
  <si>
    <t>Пиковое время логистической нагрузки</t>
  </si>
  <si>
    <t>Завтрак + обед; смена белья; приём/выдача анализов</t>
  </si>
  <si>
    <t>▌ ВНУТРИБОЛЬНИЧНАЯ ЛОГИСТИКА: ПИТАНИЕ</t>
  </si>
  <si>
    <t>Количество кормлений в сутки</t>
  </si>
  <si>
    <t>раз/сут</t>
  </si>
  <si>
    <t>Завтрак, обед, ужин (+ полдник и второй ужин в ряде отделений)</t>
  </si>
  <si>
    <t>Общее количество порций питания в сутки</t>
  </si>
  <si>
    <t>(= Коек x Занятость x Кратность кормления)</t>
  </si>
  <si>
    <t>Среднее расстояние от пищеблока до отделения</t>
  </si>
  <si>
    <t>Влияет на время маршрута и требуемое кол-во роботов</t>
  </si>
  <si>
    <t>Количество точек раздачи питания (отделений)</t>
  </si>
  <si>
    <t>Один рейс робота = 1 отделение или несколько в цепочке</t>
  </si>
  <si>
    <t>Средняя масса тележки с питанием (брутто)</t>
  </si>
  <si>
    <t>Норматив доставки питания (мин от пищеблока до отделения)</t>
  </si>
  <si>
    <t>Требование СанПиН и технологической карты</t>
  </si>
  <si>
    <t>▌ ВНУТРИБОЛЬНИЧНАЯ ЛОГИСТИКА: БЕЛЬЁ</t>
  </si>
  <si>
    <t>Объём грязного белья (кг/сутки)</t>
  </si>
  <si>
    <t>кг/сут</t>
  </si>
  <si>
    <t>Норматив: ~2.5–3.5 кг на койку в сутки (постельное + операционное)</t>
  </si>
  <si>
    <t>Объём чистого белья на раздачу (кг/сутки)</t>
  </si>
  <si>
    <t>≈ грязному (с учётом сортировки и потерь)</t>
  </si>
  <si>
    <t>Количество точек сбора/выдачи белья</t>
  </si>
  <si>
    <t>По числу отделений; есть также операционный блок</t>
  </si>
  <si>
    <t>Периодичность смены белья (раз в сутки, в среднем)</t>
  </si>
  <si>
    <t>Плановая смена 1 р/сут; экстренная — по потребности</t>
  </si>
  <si>
    <t>Средняя масса контейнера с бельём</t>
  </si>
  <si>
    <t>Брезентовая тележка или замкнутый контейнер (требование по инфекции)</t>
  </si>
  <si>
    <t>▌ ВНУТРИБОЛЬНИЧНАЯ ЛОГИСТИКА: МЕДИКАМЕНТЫ И РАСХОДНИКИ</t>
  </si>
  <si>
    <t>Количество наименований медикаментов в обращении</t>
  </si>
  <si>
    <t>наименований</t>
  </si>
  <si>
    <t>Аналог SKU. Влияет на алгоритм комплектации</t>
  </si>
  <si>
    <t>Объём выдачи медикаментов (заявок/сутки)</t>
  </si>
  <si>
    <t>заявок/сут</t>
  </si>
  <si>
    <t>1 заявка = 1 отделение, 1 смена. Комплектуется в аптеке</t>
  </si>
  <si>
    <t>Количество аптечных точек выдачи (аптека, аптечные склады)</t>
  </si>
  <si>
    <t>Точки отправки роботов с медикаментами</t>
  </si>
  <si>
    <t>Количество точек доставки (отделений + ОР + реанимация)</t>
  </si>
  <si>
    <t>Точки назначения</t>
  </si>
  <si>
    <t>Среднее время комплектации 1 заявки в аптеке</t>
  </si>
  <si>
    <t>Влияет на ритмичность работы роботов</t>
  </si>
  <si>
    <t>Доля срочных (STAT) доставок медикаментов</t>
  </si>
  <si>
    <t>STAT = приоритет; робот должен прерывать плановый маршрут</t>
  </si>
  <si>
    <t>Объём доставки расходных материалов (рейсов/сутки)</t>
  </si>
  <si>
    <t>Шприцы, бинты, перчатки и пр.</t>
  </si>
  <si>
    <t>▌ ВНУТРИБОЛЬНИЧНАЯ ЛОГИСТИКА: АНАЛИЗЫ И БИОМАТЕРИАЛЫ</t>
  </si>
  <si>
    <t>Количество биоматериалов (проб) в сутки</t>
  </si>
  <si>
    <t>проб/сут</t>
  </si>
  <si>
    <t>Забор у пациентов → доставка в КДЛ</t>
  </si>
  <si>
    <t>Количество клинико-диагностических лабораторий (КДЛ)</t>
  </si>
  <si>
    <t>Точки приёма биоматериала</t>
  </si>
  <si>
    <t>Среднее время доставки пробы (норматив)</t>
  </si>
  <si>
    <t>ГОСТ Р 53079.4-2008. Критично для коагулологии и цитологии</t>
  </si>
  <si>
    <t>Объём выдачи результатов анализов (рейсов/сутки)</t>
  </si>
  <si>
    <t>▌ ВНУТРИБОЛЬНИЧНАЯ ЛОГИСТИКА: ОТХОДЫ</t>
  </si>
  <si>
    <t>Объём медицинских отходов класса А (ненасыщенные)</t>
  </si>
  <si>
    <t>Объём медицинских отходов класса Б (инфицированные)</t>
  </si>
  <si>
    <t>Количество точек сбора отходов</t>
  </si>
  <si>
    <t>По числу отделений + операционный блок</t>
  </si>
  <si>
    <t>Периодичность вывоза отходов из отделений</t>
  </si>
  <si>
    <t>Строгий регламент СанПиН 2.1.3684-21</t>
  </si>
  <si>
    <t>▌ ПЕРСОНАЛ (НЕМЕДИЦИНСКИЙ, ЗАДЕЙСТВОВАННЫЙ В ЛОГИСТИКЕ)</t>
  </si>
  <si>
    <t>Численность санитаров и транспортировщиков</t>
  </si>
  <si>
    <t>Численность сотрудников пищеблока (раздача)</t>
  </si>
  <si>
    <t>Численность сотрудников прачечной (транспорт белья)</t>
  </si>
  <si>
    <t>Средняя з/п санитара/транспортировщика (gross)</t>
  </si>
  <si>
    <t>Средняя з/п сотрудника пищеблока (gross)</t>
  </si>
  <si>
    <t>Аналогично склад/аэропорт</t>
  </si>
  <si>
    <t>Годовая текучесть (немедицинский персонал)</t>
  </si>
  <si>
    <t>▌ ТРЕБОВАНИЯ БЕЗОПАСНОСТИ И САНИТАРНЫЕ НОРМЫ</t>
  </si>
  <si>
    <t>Обеззараживание робота между рейсами</t>
  </si>
  <si>
    <t>Обязательно для Б-маршрутов</t>
  </si>
  <si>
    <t>УФ-модуль или обработка дез. средством. Учитывается в OPEX</t>
  </si>
  <si>
    <t>Требования к уровню шума в палатах (ночное время)</t>
  </si>
  <si>
    <t>Наличие СКУД (контроль доступа по зонам)</t>
  </si>
  <si>
    <t>Требования к материалу поверхностей робота</t>
  </si>
  <si>
    <t>Нержавеющая сталь или ABS с антибактер. покрытием</t>
  </si>
  <si>
    <t>Наличие МИС (медицинская информационная система)</t>
  </si>
  <si>
    <t>Да (ЕМИАС)</t>
  </si>
  <si>
    <t>Наличие ЛИС (лабораторная информационная система)</t>
  </si>
  <si>
    <t>Для автоматического формирования заявок на доставку проб</t>
  </si>
  <si>
    <t>Наличие системы управления лифтами (BMS)</t>
  </si>
  <si>
    <t>Критично: без API лифтов AMR не может самостоятельно переходить между этажами</t>
  </si>
  <si>
    <t>Ширина коридоров (основных)</t>
  </si>
  <si>
    <t>Наличие пандусов/подъёмников (для межэтажного AMR без лифта)</t>
  </si>
  <si>
    <t>Нет</t>
  </si>
  <si>
    <t>Обычно ставятся у сестринских постов или в технических нишах</t>
  </si>
  <si>
    <t>ЛЕГЕНДА И ИНСТРУКЦИЯ ПО ИСПОЛЬЗОВАНИЮ ДАТАСЕТОВ</t>
  </si>
  <si>
    <t>Назначение файла</t>
  </si>
  <si>
    <t>Диапазон min / max</t>
  </si>
  <si>
    <t>Допустимые значения для валидации формы ввода в платформе.</t>
  </si>
  <si>
    <t>Примечание / источник</t>
  </si>
  <si>
    <t>Контекст для расчётных модулей: источник норматива, важные допущения, ограничения.</t>
  </si>
  <si>
    <t>Как использовать датасет</t>
  </si>
  <si>
    <t>Шаг 1</t>
  </si>
  <si>
    <t>Участник открывает нужный лист (Склад / Аэропорт / Медучреждение)</t>
  </si>
  <si>
    <t>Шаг 2</t>
  </si>
  <si>
    <t>Синие значения в столбце «Базовое значение» загружаются в платформу как демо-данные</t>
  </si>
  <si>
    <t>Шаг 3</t>
  </si>
  <si>
    <t>Диапазоны min/max используются для валидации ввода и подсветки out-of-range</t>
  </si>
  <si>
    <t>Шаг 4</t>
  </si>
  <si>
    <t>Расчётный модуль платформы использует значения для формул CAPEX/OPEX/ROI</t>
  </si>
  <si>
    <t>Шаг 5</t>
  </si>
  <si>
    <t>Участник может менять значения и нажать «Пересчитать» — платформа пересчитывает экономику</t>
  </si>
  <si>
    <t>Источники данных</t>
  </si>
  <si>
    <t>Склад</t>
  </si>
  <si>
    <t>Отраслевые бенчмарки LogLink, Data Insight e-com, GS Group, публичные ТЭО 2022–2024</t>
  </si>
  <si>
    <t>Аэропорт</t>
  </si>
  <si>
    <t>Росавиация, ИКАО doc 9137, данные аэропорта Шереметьево (публичный отчёт), IATA</t>
  </si>
  <si>
    <t>Медучреждение</t>
  </si>
  <si>
    <t>Минздрав РФ, СанПиН 2.1.3.2630-10, СанПиН 2.1.3684-21, ГОСТ Р 53079, опыт внедрений Aethon/Swisslog</t>
  </si>
  <si>
    <t>Важные допущения</t>
  </si>
  <si>
    <t>ФОТ</t>
  </si>
  <si>
    <t>Коэффициент начислений 30.2% (страховые взносы, стандартная ставка 2024–2025)</t>
  </si>
  <si>
    <t>Пиковая нагрузка</t>
  </si>
  <si>
    <t>Робот рассчитывается на пиковую нагрузку с резервом 15–20%</t>
  </si>
  <si>
    <t>Коэффициент загрузки AMR</t>
  </si>
  <si>
    <t>Типовой KPI: 70–85% (учитывает зарядку, простои, ожидание)</t>
  </si>
  <si>
    <t>CAPEX</t>
  </si>
  <si>
    <t>Включает: оборудование + ПО + интеграция + пусконаладка + обучение + резерв 10%</t>
  </si>
  <si>
    <t>OPEX</t>
  </si>
  <si>
    <t>Включает: сервис + лицензии + электроэнергия + расходники (замена АКБ ~раз в 3–5 лет)</t>
  </si>
  <si>
    <t>Типичный объект. Используется для демо-расчёта на хакатоне.</t>
  </si>
  <si>
    <t>50% от общей площади</t>
  </si>
  <si>
    <t>Узкий проход (1.5-2.0 м) - только специализированные решения</t>
  </si>
  <si>
    <t>Для многоэтажных решений необходимы лифты - учитывается в CAPEX</t>
  </si>
  <si>
    <t>Влияет на выбор типа решений (особенно в случае шаттловой системы)</t>
  </si>
  <si>
    <t>-</t>
  </si>
  <si>
    <t>Влияет на выбор колёс/гусениц роботов-транспортировщиков. Альтернативы: эпоксид, асфальт</t>
  </si>
  <si>
    <t>Стандартно: 2 смены по 12 ч/сутки</t>
  </si>
  <si>
    <t>Строка = 1 позиция в заказе. Ключевой KPI для комплектации</t>
  </si>
  <si>
    <t>Доля мелкоштучного отбора (piece-pick)</t>
  </si>
  <si>
    <t>Остаток - коробочный или паллетный отбор</t>
  </si>
  <si>
    <t>Из них: отборщики (комплектовщики)</t>
  </si>
  <si>
    <t>Целевая группа для экономии при роботизации</t>
  </si>
  <si>
    <t>gross</t>
  </si>
  <si>
    <t>До роботизации; учитывает ходьбу, поиск, упаковку. Зависит от размера склада</t>
  </si>
  <si>
    <t>Критично для G2P-систем</t>
  </si>
  <si>
    <t>Влияет на грузоподъёмность роботов</t>
  </si>
  <si>
    <t>Евростандарт</t>
  </si>
  <si>
    <t>Нестандарт - барьер для автоматизации; остаётся ручным</t>
  </si>
  <si>
    <t xml:space="preserve">Да </t>
  </si>
  <si>
    <t>Наличие WMS обязательно для роботизации</t>
  </si>
  <si>
    <t>Для зарядных станций роботов</t>
  </si>
  <si>
    <t>Суммарная площадь терминала (ов)</t>
  </si>
  <si>
    <t>Площадь пассажирского терминала - база для расчёта маршрутов роботов-транспортировщиков</t>
  </si>
  <si>
    <t>Открытая зона - ограничения на перемещение роботов (погода, допуски)</t>
  </si>
  <si>
    <t>Несколько терминалов - сложная логистика между ними</t>
  </si>
  <si>
    <t>Транзит - ключевой сегмент для роботов-носильщиков/кейсов</t>
  </si>
  <si>
    <t>Цель роботизации - частичное высвобождение на рутинных операциях</t>
  </si>
  <si>
    <t>Ниже рынка, высокая текучесть</t>
  </si>
  <si>
    <t>Многие роботы не сертифицированы ниже -20°C</t>
  </si>
  <si>
    <t>Аэропортовые проекты имеют длиннее горизонт из-за сложности интеграции</t>
  </si>
  <si>
    <t>~60-70% от площади терминала (без закрытых и режимных зон)</t>
  </si>
  <si>
    <t>Пропускная способность лифта - частое узкое место</t>
  </si>
  <si>
    <t>07:00-10:00 и 15:00-17:00</t>
  </si>
  <si>
    <t>5/2, 08:00-20:00</t>
  </si>
  <si>
    <t>Определяет грузоподъёмность. Типовой агрегатный лоток - 60-80 кг</t>
  </si>
  <si>
    <t>Класс Б - специальные требования к контейнерам и маршруту</t>
  </si>
  <si>
    <t>Класс А - ненасыщенные</t>
  </si>
  <si>
    <t>Частичное замещение - только транспортная функция</t>
  </si>
  <si>
    <t>Основная целевая группа для замещения</t>
  </si>
  <si>
    <t>Интеграция роботов через API лифтового оборудования и дверей</t>
  </si>
  <si>
    <t>СанПиН 2.1.3.2630-10</t>
  </si>
  <si>
    <t>Для протирки дез. Средствами</t>
  </si>
  <si>
    <t>Медицина - консервативна; часто начинают с пилота на 1-3 робота</t>
  </si>
  <si>
    <t>Если нет лифтовой интеграции - требуются подъёмники</t>
  </si>
  <si>
    <t>Мин. 1.8 м для AMR + разминовка с каталками. Узкие места - критичны</t>
  </si>
  <si>
    <t>Интеграция с МИС - источник данных для планирования маршрутов</t>
  </si>
  <si>
    <t>Москва/МО 2024-2025</t>
  </si>
  <si>
    <t>Бумажные бланки или интегрированная ЛИС - влияет на сценарий</t>
  </si>
  <si>
    <t>Аэропортовая операционная БД - источник данных для расписания роботов
FIDS - система отображения информации о рейсах в аэропорту, AODB - операционная база данных аэропорта</t>
  </si>
  <si>
    <t>Среднее кол-во штук на строку ~1,5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</si>
</sst>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color rgb="FF1F4E79"/>
      <name val="Arial"/>
      <family val="2"/>
      <charset val="204"/>
    </font>
    <font>
      <sz val="10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name val="Arial"/>
      <family val="2"/>
      <charset val="204"/>
    </font>
    <font>
      <sz val="10"/>
      <color rgb="FF0000F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C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160" zoomScaleNormal="160" workbookViewId="0">
      <pane ySplit="2" topLeftCell="A31" activePane="bottomLeft" state="frozen"/>
      <selection pane="bottomLeft" activeCell="E37" sqref="E37"/>
    </sheetView>
  </sheetViews>
  <sheetFormatPr defaultColWidth="8.7109375" defaultRowHeight="15" x14ac:dyDescent="0.25"/>
  <cols>
    <col min="1" max="1" width="40" customWidth="1"/>
    <col min="2" max="2" width="14" customWidth="1"/>
    <col min="3" max="3" width="18" customWidth="1"/>
    <col min="4" max="5" width="14" customWidth="1"/>
    <col min="6" max="6" width="50" customWidth="1"/>
  </cols>
  <sheetData>
    <row r="1" spans="1:6" ht="30" customHeight="1" x14ac:dyDescent="0.25">
      <c r="A1" s="14" t="s">
        <v>0</v>
      </c>
      <c r="B1" s="14"/>
      <c r="C1" s="14"/>
      <c r="D1" s="14"/>
      <c r="E1" s="14"/>
      <c r="F1" s="14"/>
    </row>
    <row r="2" spans="1:6" ht="25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5" t="s">
        <v>7</v>
      </c>
      <c r="B3" s="15"/>
      <c r="C3" s="15"/>
      <c r="D3" s="15"/>
      <c r="E3" s="15"/>
      <c r="F3" s="15"/>
    </row>
    <row r="4" spans="1:6" ht="25.5" x14ac:dyDescent="0.25">
      <c r="A4" s="3" t="s">
        <v>8</v>
      </c>
      <c r="B4" s="4" t="s">
        <v>9</v>
      </c>
      <c r="C4" s="7">
        <v>20000</v>
      </c>
      <c r="D4" s="8">
        <v>10000</v>
      </c>
      <c r="E4" s="8">
        <v>100000</v>
      </c>
      <c r="F4" s="10" t="s">
        <v>10</v>
      </c>
    </row>
    <row r="5" spans="1:6" x14ac:dyDescent="0.25">
      <c r="A5" s="3" t="s">
        <v>11</v>
      </c>
      <c r="B5" s="4" t="s">
        <v>9</v>
      </c>
      <c r="C5" s="7">
        <v>10000</v>
      </c>
      <c r="D5" s="8">
        <v>5000</v>
      </c>
      <c r="E5" s="8">
        <v>50000</v>
      </c>
      <c r="F5" s="10" t="s">
        <v>332</v>
      </c>
    </row>
    <row r="6" spans="1:6" ht="25.5" x14ac:dyDescent="0.25">
      <c r="A6" s="3" t="s">
        <v>12</v>
      </c>
      <c r="B6" s="4" t="s">
        <v>13</v>
      </c>
      <c r="C6" s="5">
        <v>10</v>
      </c>
      <c r="D6" s="4">
        <v>5</v>
      </c>
      <c r="E6" s="4">
        <v>16</v>
      </c>
      <c r="F6" s="10" t="s">
        <v>335</v>
      </c>
    </row>
    <row r="7" spans="1:6" ht="25.5" x14ac:dyDescent="0.25">
      <c r="A7" s="3" t="s">
        <v>14</v>
      </c>
      <c r="B7" s="4" t="s">
        <v>15</v>
      </c>
      <c r="C7" s="5">
        <v>1</v>
      </c>
      <c r="D7" s="4">
        <v>1</v>
      </c>
      <c r="E7" s="4">
        <v>3</v>
      </c>
      <c r="F7" s="10" t="s">
        <v>334</v>
      </c>
    </row>
    <row r="8" spans="1:6" x14ac:dyDescent="0.25">
      <c r="A8" s="3" t="s">
        <v>16</v>
      </c>
      <c r="B8" s="4" t="s">
        <v>13</v>
      </c>
      <c r="C8" s="5">
        <v>3.5</v>
      </c>
      <c r="D8" s="4">
        <v>2.5</v>
      </c>
      <c r="E8" s="4">
        <v>6</v>
      </c>
      <c r="F8" s="3" t="s">
        <v>17</v>
      </c>
    </row>
    <row r="9" spans="1:6" ht="25.5" x14ac:dyDescent="0.25">
      <c r="A9" s="3" t="s">
        <v>18</v>
      </c>
      <c r="B9" s="4" t="s">
        <v>13</v>
      </c>
      <c r="C9" s="5">
        <v>2.8</v>
      </c>
      <c r="D9" s="4">
        <v>1.5</v>
      </c>
      <c r="E9" s="4">
        <v>4.5</v>
      </c>
      <c r="F9" s="10" t="s">
        <v>333</v>
      </c>
    </row>
    <row r="10" spans="1:6" ht="25.5" x14ac:dyDescent="0.25">
      <c r="A10" s="3" t="s">
        <v>19</v>
      </c>
      <c r="B10" s="11" t="s">
        <v>336</v>
      </c>
      <c r="C10" s="5" t="s">
        <v>20</v>
      </c>
      <c r="D10" s="11" t="s">
        <v>336</v>
      </c>
      <c r="E10" s="11" t="s">
        <v>336</v>
      </c>
      <c r="F10" s="10" t="s">
        <v>337</v>
      </c>
    </row>
    <row r="11" spans="1:6" ht="25.5" x14ac:dyDescent="0.25">
      <c r="A11" s="3" t="s">
        <v>21</v>
      </c>
      <c r="B11" s="4" t="s">
        <v>22</v>
      </c>
      <c r="C11" s="5">
        <v>3</v>
      </c>
      <c r="D11" s="4">
        <v>1</v>
      </c>
      <c r="E11" s="4">
        <v>8</v>
      </c>
      <c r="F11" s="3" t="s">
        <v>23</v>
      </c>
    </row>
    <row r="12" spans="1:6" ht="18" customHeight="1" x14ac:dyDescent="0.25">
      <c r="A12" s="15" t="s">
        <v>24</v>
      </c>
      <c r="B12" s="15"/>
      <c r="C12" s="15"/>
      <c r="D12" s="15"/>
      <c r="E12" s="15"/>
      <c r="F12" s="15"/>
    </row>
    <row r="13" spans="1:6" x14ac:dyDescent="0.25">
      <c r="A13" s="3" t="s">
        <v>25</v>
      </c>
      <c r="B13" s="4" t="s">
        <v>26</v>
      </c>
      <c r="C13" s="5">
        <v>2</v>
      </c>
      <c r="D13" s="4">
        <v>1</v>
      </c>
      <c r="E13" s="4">
        <v>3</v>
      </c>
      <c r="F13" s="10" t="s">
        <v>338</v>
      </c>
    </row>
    <row r="14" spans="1:6" x14ac:dyDescent="0.25">
      <c r="A14" s="3" t="s">
        <v>27</v>
      </c>
      <c r="B14" s="4" t="s">
        <v>28</v>
      </c>
      <c r="C14" s="5">
        <v>365</v>
      </c>
      <c r="D14" s="4">
        <v>365</v>
      </c>
      <c r="E14" s="4">
        <v>365</v>
      </c>
      <c r="F14" s="10"/>
    </row>
    <row r="15" spans="1:6" x14ac:dyDescent="0.25">
      <c r="A15" s="3" t="s">
        <v>29</v>
      </c>
      <c r="B15" s="4" t="s">
        <v>30</v>
      </c>
      <c r="C15" s="5">
        <v>11</v>
      </c>
      <c r="D15" s="4">
        <v>10</v>
      </c>
      <c r="E15" s="4">
        <v>11</v>
      </c>
      <c r="F15" s="3" t="s">
        <v>31</v>
      </c>
    </row>
    <row r="16" spans="1:6" ht="25.5" x14ac:dyDescent="0.25">
      <c r="A16" s="3" t="s">
        <v>32</v>
      </c>
      <c r="B16" s="11" t="s">
        <v>336</v>
      </c>
      <c r="C16" s="5">
        <v>1.5</v>
      </c>
      <c r="D16" s="4">
        <v>1.2</v>
      </c>
      <c r="E16" s="4">
        <v>2.5</v>
      </c>
      <c r="F16" s="3" t="s">
        <v>33</v>
      </c>
    </row>
    <row r="17" spans="1:6" ht="18" customHeight="1" x14ac:dyDescent="0.25">
      <c r="A17" s="15" t="s">
        <v>34</v>
      </c>
      <c r="B17" s="15"/>
      <c r="C17" s="15"/>
      <c r="D17" s="15"/>
      <c r="E17" s="15"/>
      <c r="F17" s="15"/>
    </row>
    <row r="18" spans="1:6" ht="18" customHeight="1" x14ac:dyDescent="0.25">
      <c r="A18" s="3" t="s">
        <v>35</v>
      </c>
      <c r="B18" s="4" t="s">
        <v>36</v>
      </c>
      <c r="C18" s="7">
        <v>1000</v>
      </c>
      <c r="D18" s="8">
        <v>500</v>
      </c>
      <c r="E18" s="8">
        <v>5000</v>
      </c>
      <c r="F18" s="3" t="s">
        <v>37</v>
      </c>
    </row>
    <row r="19" spans="1:6" ht="18" customHeight="1" x14ac:dyDescent="0.25">
      <c r="A19" s="3" t="s">
        <v>38</v>
      </c>
      <c r="B19" s="4" t="s">
        <v>36</v>
      </c>
      <c r="C19" s="7">
        <v>1000</v>
      </c>
      <c r="D19" s="8">
        <v>500</v>
      </c>
      <c r="E19" s="8">
        <v>5000</v>
      </c>
      <c r="F19" s="3" t="s">
        <v>39</v>
      </c>
    </row>
    <row r="20" spans="1:6" ht="25.5" x14ac:dyDescent="0.25">
      <c r="A20" s="3" t="s">
        <v>40</v>
      </c>
      <c r="B20" s="4" t="s">
        <v>41</v>
      </c>
      <c r="C20" s="7">
        <v>100000</v>
      </c>
      <c r="D20" s="8">
        <v>50000</v>
      </c>
      <c r="E20" s="8">
        <v>500000</v>
      </c>
      <c r="F20" s="10" t="s">
        <v>339</v>
      </c>
    </row>
    <row r="21" spans="1:6" ht="18" customHeight="1" x14ac:dyDescent="0.25">
      <c r="A21" s="3" t="s">
        <v>42</v>
      </c>
      <c r="B21" s="4" t="s">
        <v>43</v>
      </c>
      <c r="C21" s="7">
        <v>150000</v>
      </c>
      <c r="D21" s="8">
        <v>75000</v>
      </c>
      <c r="E21" s="8">
        <v>750000</v>
      </c>
      <c r="F21" s="3" t="s">
        <v>381</v>
      </c>
    </row>
    <row r="22" spans="1:6" ht="18" customHeight="1" x14ac:dyDescent="0.25">
      <c r="A22" s="10" t="s">
        <v>340</v>
      </c>
      <c r="B22" s="4" t="s">
        <v>44</v>
      </c>
      <c r="C22" s="5">
        <v>30</v>
      </c>
      <c r="D22" s="4">
        <v>10</v>
      </c>
      <c r="E22" s="4">
        <v>80</v>
      </c>
      <c r="F22" s="10" t="s">
        <v>341</v>
      </c>
    </row>
    <row r="23" spans="1:6" ht="25.5" x14ac:dyDescent="0.25">
      <c r="A23" s="3" t="s">
        <v>45</v>
      </c>
      <c r="B23" s="4" t="s">
        <v>46</v>
      </c>
      <c r="C23" s="7">
        <v>2000</v>
      </c>
      <c r="D23" s="8">
        <v>1000</v>
      </c>
      <c r="E23" s="8">
        <v>10000</v>
      </c>
      <c r="F23" s="3" t="s">
        <v>47</v>
      </c>
    </row>
    <row r="24" spans="1:6" ht="18" customHeight="1" x14ac:dyDescent="0.25">
      <c r="A24" s="3" t="s">
        <v>48</v>
      </c>
      <c r="B24" s="4" t="s">
        <v>44</v>
      </c>
      <c r="C24" s="5">
        <v>20</v>
      </c>
      <c r="D24" s="4">
        <v>10</v>
      </c>
      <c r="E24" s="4">
        <v>40</v>
      </c>
      <c r="F24" s="3"/>
    </row>
    <row r="25" spans="1:6" ht="18" customHeight="1" x14ac:dyDescent="0.25">
      <c r="A25" s="2" t="s">
        <v>49</v>
      </c>
      <c r="B25" s="2"/>
      <c r="C25" s="2"/>
      <c r="D25" s="2"/>
      <c r="E25" s="2"/>
      <c r="F25" s="2"/>
    </row>
    <row r="26" spans="1:6" ht="25.5" x14ac:dyDescent="0.25">
      <c r="A26" s="3" t="s">
        <v>50</v>
      </c>
      <c r="B26" s="4" t="s">
        <v>51</v>
      </c>
      <c r="C26" s="5">
        <v>180</v>
      </c>
      <c r="D26" s="4">
        <v>30</v>
      </c>
      <c r="E26" s="4">
        <v>700</v>
      </c>
      <c r="F26" s="3" t="s">
        <v>52</v>
      </c>
    </row>
    <row r="27" spans="1:6" ht="18" customHeight="1" x14ac:dyDescent="0.25">
      <c r="A27" s="10" t="s">
        <v>342</v>
      </c>
      <c r="B27" s="4" t="s">
        <v>51</v>
      </c>
      <c r="C27" s="5">
        <v>100</v>
      </c>
      <c r="D27" s="4">
        <v>15</v>
      </c>
      <c r="E27" s="4">
        <v>500</v>
      </c>
      <c r="F27" s="10" t="s">
        <v>343</v>
      </c>
    </row>
    <row r="28" spans="1:6" ht="18" customHeight="1" x14ac:dyDescent="0.25">
      <c r="A28" s="3" t="s">
        <v>53</v>
      </c>
      <c r="B28" s="4" t="s">
        <v>51</v>
      </c>
      <c r="C28" s="5">
        <v>25</v>
      </c>
      <c r="D28" s="4">
        <v>5</v>
      </c>
      <c r="E28" s="4">
        <v>80</v>
      </c>
      <c r="F28" s="3" t="s">
        <v>54</v>
      </c>
    </row>
    <row r="29" spans="1:6" ht="18" customHeight="1" x14ac:dyDescent="0.25">
      <c r="A29" s="3" t="s">
        <v>55</v>
      </c>
      <c r="B29" s="4" t="s">
        <v>51</v>
      </c>
      <c r="C29" s="5">
        <v>20</v>
      </c>
      <c r="D29" s="4">
        <v>5</v>
      </c>
      <c r="E29" s="4">
        <v>60</v>
      </c>
      <c r="F29" s="3" t="s">
        <v>56</v>
      </c>
    </row>
    <row r="30" spans="1:6" x14ac:dyDescent="0.25">
      <c r="A30" s="3" t="s">
        <v>57</v>
      </c>
      <c r="B30" s="4" t="s">
        <v>58</v>
      </c>
      <c r="C30" s="7">
        <v>100000</v>
      </c>
      <c r="D30" s="8">
        <v>70000</v>
      </c>
      <c r="E30" s="8">
        <v>150000</v>
      </c>
      <c r="F30" s="10" t="s">
        <v>344</v>
      </c>
    </row>
    <row r="31" spans="1:6" x14ac:dyDescent="0.25">
      <c r="A31" s="3" t="s">
        <v>59</v>
      </c>
      <c r="B31" s="4" t="s">
        <v>58</v>
      </c>
      <c r="C31" s="7">
        <v>120000</v>
      </c>
      <c r="D31" s="8">
        <v>80000</v>
      </c>
      <c r="E31" s="8">
        <v>170000</v>
      </c>
      <c r="F31" s="10" t="s">
        <v>60</v>
      </c>
    </row>
    <row r="32" spans="1:6" ht="25.5" x14ac:dyDescent="0.25">
      <c r="A32" s="3" t="s">
        <v>61</v>
      </c>
      <c r="B32" s="11" t="s">
        <v>336</v>
      </c>
      <c r="C32" s="5">
        <v>1.302</v>
      </c>
      <c r="D32" s="4">
        <v>1.302</v>
      </c>
      <c r="E32" s="4">
        <v>1.302</v>
      </c>
      <c r="F32" s="3" t="s">
        <v>62</v>
      </c>
    </row>
    <row r="33" spans="1:6" ht="25.5" x14ac:dyDescent="0.25">
      <c r="A33" s="3" t="s">
        <v>63</v>
      </c>
      <c r="B33" s="4" t="s">
        <v>64</v>
      </c>
      <c r="C33" s="5">
        <v>150</v>
      </c>
      <c r="D33" s="4">
        <v>80</v>
      </c>
      <c r="E33" s="4">
        <v>200</v>
      </c>
      <c r="F33" s="10" t="s">
        <v>345</v>
      </c>
    </row>
    <row r="34" spans="1:6" ht="25.5" x14ac:dyDescent="0.25">
      <c r="A34" s="3" t="s">
        <v>65</v>
      </c>
      <c r="B34" s="4" t="s">
        <v>44</v>
      </c>
      <c r="C34" s="5">
        <v>25</v>
      </c>
      <c r="D34" s="4">
        <v>15</v>
      </c>
      <c r="E34" s="4">
        <v>35</v>
      </c>
      <c r="F34" s="3" t="s">
        <v>66</v>
      </c>
    </row>
    <row r="35" spans="1:6" ht="18" customHeight="1" x14ac:dyDescent="0.25">
      <c r="A35" s="2" t="s">
        <v>67</v>
      </c>
      <c r="B35" s="2"/>
      <c r="C35" s="2"/>
      <c r="D35" s="2"/>
      <c r="E35" s="2"/>
      <c r="F35" s="2"/>
    </row>
    <row r="36" spans="1:6" ht="25.5" x14ac:dyDescent="0.25">
      <c r="A36" s="3" t="s">
        <v>68</v>
      </c>
      <c r="B36" s="4" t="s">
        <v>13</v>
      </c>
      <c r="C36" s="5">
        <v>25</v>
      </c>
      <c r="D36" s="4">
        <v>15</v>
      </c>
      <c r="E36" s="4">
        <v>60</v>
      </c>
      <c r="F36" s="3" t="s">
        <v>69</v>
      </c>
    </row>
    <row r="37" spans="1:6" ht="25.5" x14ac:dyDescent="0.25">
      <c r="A37" s="3" t="s">
        <v>70</v>
      </c>
      <c r="B37" s="4" t="s">
        <v>13</v>
      </c>
      <c r="C37" s="5">
        <v>350</v>
      </c>
      <c r="D37" s="4">
        <v>0</v>
      </c>
      <c r="E37" s="4">
        <v>2000</v>
      </c>
      <c r="F37" s="3" t="s">
        <v>71</v>
      </c>
    </row>
    <row r="38" spans="1:6" ht="18" customHeight="1" x14ac:dyDescent="0.25">
      <c r="A38" s="2" t="s">
        <v>72</v>
      </c>
      <c r="B38" s="2"/>
      <c r="C38" s="2"/>
      <c r="D38" s="2"/>
      <c r="E38" s="2"/>
      <c r="F38" s="2"/>
    </row>
    <row r="39" spans="1:6" ht="25.5" x14ac:dyDescent="0.25">
      <c r="A39" s="3" t="s">
        <v>73</v>
      </c>
      <c r="B39" s="11" t="s">
        <v>336</v>
      </c>
      <c r="C39" s="5" t="s">
        <v>74</v>
      </c>
      <c r="D39" s="11" t="s">
        <v>336</v>
      </c>
      <c r="E39" s="11" t="s">
        <v>336</v>
      </c>
      <c r="F39" s="3" t="s">
        <v>75</v>
      </c>
    </row>
    <row r="40" spans="1:6" ht="18" customHeight="1" x14ac:dyDescent="0.25">
      <c r="A40" s="3" t="s">
        <v>76</v>
      </c>
      <c r="B40" s="4" t="s">
        <v>77</v>
      </c>
      <c r="C40" s="7">
        <v>20000</v>
      </c>
      <c r="D40" s="8">
        <v>10000</v>
      </c>
      <c r="E40" s="8">
        <v>100000</v>
      </c>
      <c r="F40" s="3" t="s">
        <v>78</v>
      </c>
    </row>
    <row r="41" spans="1:6" ht="18" customHeight="1" x14ac:dyDescent="0.25">
      <c r="A41" s="3" t="s">
        <v>79</v>
      </c>
      <c r="B41" s="4" t="s">
        <v>80</v>
      </c>
      <c r="C41" s="7">
        <v>800</v>
      </c>
      <c r="D41" s="8">
        <v>200</v>
      </c>
      <c r="E41" s="8">
        <v>1500</v>
      </c>
      <c r="F41" s="10" t="s">
        <v>347</v>
      </c>
    </row>
    <row r="42" spans="1:6" ht="18" customHeight="1" x14ac:dyDescent="0.25">
      <c r="A42" s="3" t="s">
        <v>81</v>
      </c>
      <c r="B42" s="4" t="s">
        <v>80</v>
      </c>
      <c r="C42" s="5">
        <v>1.8</v>
      </c>
      <c r="D42" s="4">
        <v>0.1</v>
      </c>
      <c r="E42" s="4">
        <v>20</v>
      </c>
      <c r="F42" s="10" t="s">
        <v>346</v>
      </c>
    </row>
    <row r="43" spans="1:6" ht="18" customHeight="1" x14ac:dyDescent="0.25">
      <c r="A43" s="3" t="s">
        <v>82</v>
      </c>
      <c r="B43" s="4" t="s">
        <v>83</v>
      </c>
      <c r="C43" s="5" t="s">
        <v>84</v>
      </c>
      <c r="D43" s="11" t="s">
        <v>336</v>
      </c>
      <c r="E43" s="11" t="s">
        <v>336</v>
      </c>
      <c r="F43" s="10" t="s">
        <v>348</v>
      </c>
    </row>
    <row r="44" spans="1:6" ht="25.5" x14ac:dyDescent="0.25">
      <c r="A44" s="3" t="s">
        <v>85</v>
      </c>
      <c r="B44" s="4" t="s">
        <v>83</v>
      </c>
      <c r="C44" s="5" t="s">
        <v>86</v>
      </c>
      <c r="D44" s="11" t="s">
        <v>336</v>
      </c>
      <c r="E44" s="11" t="s">
        <v>336</v>
      </c>
      <c r="F44" s="3" t="s">
        <v>87</v>
      </c>
    </row>
    <row r="45" spans="1:6" ht="25.5" x14ac:dyDescent="0.25">
      <c r="A45" s="3" t="s">
        <v>89</v>
      </c>
      <c r="B45" s="4" t="s">
        <v>44</v>
      </c>
      <c r="C45" s="5">
        <v>5</v>
      </c>
      <c r="D45" s="4">
        <v>0</v>
      </c>
      <c r="E45" s="4">
        <v>30</v>
      </c>
      <c r="F45" s="10" t="s">
        <v>349</v>
      </c>
    </row>
    <row r="46" spans="1:6" ht="18" customHeight="1" x14ac:dyDescent="0.25">
      <c r="A46" s="2" t="s">
        <v>90</v>
      </c>
      <c r="B46" s="2"/>
      <c r="C46" s="2"/>
      <c r="D46" s="2"/>
      <c r="E46" s="2"/>
      <c r="F46" s="2"/>
    </row>
    <row r="47" spans="1:6" ht="18" customHeight="1" x14ac:dyDescent="0.25">
      <c r="A47" s="3" t="s">
        <v>91</v>
      </c>
      <c r="B47" s="4" t="s">
        <v>92</v>
      </c>
      <c r="C47" s="5">
        <v>500</v>
      </c>
      <c r="D47" s="4">
        <v>100</v>
      </c>
      <c r="E47" s="4">
        <v>3000</v>
      </c>
      <c r="F47" s="10" t="s">
        <v>352</v>
      </c>
    </row>
    <row r="48" spans="1:6" x14ac:dyDescent="0.25">
      <c r="A48" s="3" t="s">
        <v>93</v>
      </c>
      <c r="B48" s="11" t="s">
        <v>336</v>
      </c>
      <c r="C48" s="12" t="s">
        <v>350</v>
      </c>
      <c r="D48" s="11" t="s">
        <v>177</v>
      </c>
      <c r="E48" s="11" t="s">
        <v>177</v>
      </c>
      <c r="F48" s="10" t="s">
        <v>351</v>
      </c>
    </row>
    <row r="49" spans="1:6" ht="18" customHeight="1" x14ac:dyDescent="0.25">
      <c r="A49" s="3" t="s">
        <v>94</v>
      </c>
      <c r="B49" s="11" t="s">
        <v>336</v>
      </c>
      <c r="C49" s="5" t="s">
        <v>95</v>
      </c>
      <c r="D49" s="11" t="s">
        <v>336</v>
      </c>
      <c r="E49" s="11" t="s">
        <v>336</v>
      </c>
      <c r="F49" s="3" t="s">
        <v>96</v>
      </c>
    </row>
    <row r="50" spans="1:6" ht="25.5" x14ac:dyDescent="0.25">
      <c r="A50" s="3" t="s">
        <v>97</v>
      </c>
      <c r="B50" s="4" t="s">
        <v>98</v>
      </c>
      <c r="C50" s="5">
        <v>80</v>
      </c>
      <c r="D50" s="4">
        <v>10</v>
      </c>
      <c r="E50" s="4">
        <v>500</v>
      </c>
      <c r="F50" s="3" t="s">
        <v>99</v>
      </c>
    </row>
    <row r="51" spans="1:6" ht="18" customHeight="1" x14ac:dyDescent="0.25">
      <c r="A51" s="3" t="s">
        <v>100</v>
      </c>
      <c r="B51" s="4" t="s">
        <v>101</v>
      </c>
      <c r="C51" s="5">
        <v>5</v>
      </c>
      <c r="D51" s="4">
        <v>3</v>
      </c>
      <c r="E51" s="4">
        <v>10</v>
      </c>
      <c r="F51" s="3" t="s">
        <v>102</v>
      </c>
    </row>
  </sheetData>
  <mergeCells count="4">
    <mergeCell ref="A1:F1"/>
    <mergeCell ref="A3:F3"/>
    <mergeCell ref="A12:F12"/>
    <mergeCell ref="A17:F1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zoomScale="175" zoomScaleNormal="175" workbookViewId="0">
      <pane ySplit="2" topLeftCell="A24" activePane="bottomLeft" state="frozen"/>
      <selection pane="bottomLeft" activeCell="A27" sqref="A27"/>
    </sheetView>
  </sheetViews>
  <sheetFormatPr defaultColWidth="8.7109375" defaultRowHeight="15" x14ac:dyDescent="0.25"/>
  <cols>
    <col min="1" max="1" width="40" customWidth="1"/>
    <col min="2" max="2" width="14" customWidth="1"/>
    <col min="3" max="3" width="18" customWidth="1"/>
    <col min="4" max="5" width="14" customWidth="1"/>
    <col min="6" max="6" width="50" customWidth="1"/>
  </cols>
  <sheetData>
    <row r="1" spans="1:6" ht="30" customHeight="1" x14ac:dyDescent="0.25">
      <c r="A1" s="14" t="s">
        <v>103</v>
      </c>
      <c r="B1" s="14"/>
      <c r="C1" s="14"/>
      <c r="D1" s="14"/>
      <c r="E1" s="14"/>
      <c r="F1" s="14"/>
    </row>
    <row r="2" spans="1:6" ht="21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5">
      <c r="A3" s="15" t="s">
        <v>7</v>
      </c>
      <c r="B3" s="15"/>
      <c r="C3" s="15"/>
      <c r="D3" s="15"/>
      <c r="E3" s="15"/>
      <c r="F3" s="15"/>
    </row>
    <row r="4" spans="1:6" ht="25.5" x14ac:dyDescent="0.25">
      <c r="A4" s="10" t="s">
        <v>353</v>
      </c>
      <c r="B4" s="4" t="s">
        <v>9</v>
      </c>
      <c r="C4" s="7">
        <v>85000</v>
      </c>
      <c r="D4" s="8">
        <v>8000</v>
      </c>
      <c r="E4" s="8">
        <v>500000</v>
      </c>
      <c r="F4" s="10" t="s">
        <v>354</v>
      </c>
    </row>
    <row r="5" spans="1:6" ht="25.5" x14ac:dyDescent="0.25">
      <c r="A5" s="3" t="s">
        <v>104</v>
      </c>
      <c r="B5" s="4" t="s">
        <v>9</v>
      </c>
      <c r="C5" s="7">
        <v>100000</v>
      </c>
      <c r="D5" s="8">
        <v>10000</v>
      </c>
      <c r="E5" s="8">
        <v>800000</v>
      </c>
      <c r="F5" s="10" t="s">
        <v>355</v>
      </c>
    </row>
    <row r="6" spans="1:6" ht="25.5" x14ac:dyDescent="0.25">
      <c r="A6" s="3" t="s">
        <v>105</v>
      </c>
      <c r="B6" s="4" t="s">
        <v>15</v>
      </c>
      <c r="C6" s="5">
        <v>2</v>
      </c>
      <c r="D6" s="4">
        <v>1</v>
      </c>
      <c r="E6" s="4">
        <v>6</v>
      </c>
      <c r="F6" s="10" t="s">
        <v>356</v>
      </c>
    </row>
    <row r="7" spans="1:6" ht="18" customHeight="1" x14ac:dyDescent="0.25">
      <c r="A7" s="3" t="s">
        <v>106</v>
      </c>
      <c r="B7" s="4" t="s">
        <v>15</v>
      </c>
      <c r="C7" s="5">
        <v>20</v>
      </c>
      <c r="D7" s="4">
        <v>8</v>
      </c>
      <c r="E7" s="4">
        <v>50</v>
      </c>
      <c r="F7" s="3" t="s">
        <v>107</v>
      </c>
    </row>
    <row r="8" spans="1:6" ht="18" customHeight="1" x14ac:dyDescent="0.25">
      <c r="A8" s="3" t="s">
        <v>108</v>
      </c>
      <c r="B8" s="4" t="s">
        <v>15</v>
      </c>
      <c r="C8" s="5">
        <v>2</v>
      </c>
      <c r="D8" s="4">
        <v>1</v>
      </c>
      <c r="E8" s="4">
        <v>4</v>
      </c>
      <c r="F8" s="3" t="s">
        <v>109</v>
      </c>
    </row>
    <row r="9" spans="1:6" ht="18" customHeight="1" x14ac:dyDescent="0.25">
      <c r="A9" s="15" t="s">
        <v>110</v>
      </c>
      <c r="B9" s="15"/>
      <c r="C9" s="15"/>
      <c r="D9" s="15"/>
      <c r="E9" s="15"/>
      <c r="F9" s="15"/>
    </row>
    <row r="10" spans="1:6" ht="18" customHeight="1" x14ac:dyDescent="0.25">
      <c r="A10" s="3" t="s">
        <v>111</v>
      </c>
      <c r="B10" s="4" t="s">
        <v>112</v>
      </c>
      <c r="C10" s="5">
        <v>8.5</v>
      </c>
      <c r="D10" s="4">
        <v>0.5</v>
      </c>
      <c r="E10" s="4">
        <v>50</v>
      </c>
      <c r="F10" s="10"/>
    </row>
    <row r="11" spans="1:6" ht="18" customHeight="1" x14ac:dyDescent="0.25">
      <c r="A11" s="3" t="s">
        <v>113</v>
      </c>
      <c r="B11" s="4" t="s">
        <v>114</v>
      </c>
      <c r="C11" s="7">
        <v>23300</v>
      </c>
      <c r="D11" s="8">
        <v>1400</v>
      </c>
      <c r="E11" s="8">
        <v>137000</v>
      </c>
      <c r="F11" s="3" t="s">
        <v>115</v>
      </c>
    </row>
    <row r="12" spans="1:6" ht="18" customHeight="1" x14ac:dyDescent="0.25">
      <c r="A12" s="3" t="s">
        <v>116</v>
      </c>
      <c r="B12" s="4" t="s">
        <v>117</v>
      </c>
      <c r="C12" s="7">
        <v>3200</v>
      </c>
      <c r="D12" s="8">
        <v>200</v>
      </c>
      <c r="E12" s="8">
        <v>18000</v>
      </c>
      <c r="F12" s="3"/>
    </row>
    <row r="13" spans="1:6" ht="25.5" x14ac:dyDescent="0.25">
      <c r="A13" s="3" t="s">
        <v>118</v>
      </c>
      <c r="B13" s="4" t="s">
        <v>44</v>
      </c>
      <c r="C13" s="5">
        <v>15</v>
      </c>
      <c r="D13" s="4">
        <v>5</v>
      </c>
      <c r="E13" s="4">
        <v>45</v>
      </c>
      <c r="F13" s="10" t="s">
        <v>357</v>
      </c>
    </row>
    <row r="14" spans="1:6" ht="25.5" x14ac:dyDescent="0.25">
      <c r="A14" s="3" t="s">
        <v>119</v>
      </c>
      <c r="B14" s="4" t="s">
        <v>15</v>
      </c>
      <c r="C14" s="5">
        <v>50</v>
      </c>
      <c r="D14" s="4">
        <v>15</v>
      </c>
      <c r="E14" s="4">
        <v>350</v>
      </c>
      <c r="F14" s="3" t="s">
        <v>120</v>
      </c>
    </row>
    <row r="15" spans="1:6" ht="18" customHeight="1" x14ac:dyDescent="0.25">
      <c r="A15" s="15" t="s">
        <v>121</v>
      </c>
      <c r="B15" s="15"/>
      <c r="C15" s="15"/>
      <c r="D15" s="15"/>
      <c r="E15" s="15"/>
      <c r="F15" s="15"/>
    </row>
    <row r="16" spans="1:6" ht="25.5" x14ac:dyDescent="0.25">
      <c r="A16" s="3" t="s">
        <v>122</v>
      </c>
      <c r="B16" s="4" t="s">
        <v>123</v>
      </c>
      <c r="C16" s="7">
        <v>280</v>
      </c>
      <c r="D16" s="8">
        <v>30</v>
      </c>
      <c r="E16" s="8">
        <v>1200</v>
      </c>
      <c r="F16" s="3"/>
    </row>
    <row r="17" spans="1:6" ht="18" customHeight="1" x14ac:dyDescent="0.25">
      <c r="A17" s="3" t="s">
        <v>124</v>
      </c>
      <c r="B17" s="4" t="s">
        <v>125</v>
      </c>
      <c r="C17" s="7">
        <v>32</v>
      </c>
      <c r="D17" s="8">
        <v>4</v>
      </c>
      <c r="E17" s="8">
        <v>120</v>
      </c>
      <c r="F17" s="3" t="s">
        <v>126</v>
      </c>
    </row>
    <row r="18" spans="1:6" ht="25.5" x14ac:dyDescent="0.25">
      <c r="A18" s="3" t="s">
        <v>127</v>
      </c>
      <c r="B18" s="4" t="s">
        <v>128</v>
      </c>
      <c r="C18" s="7">
        <v>45</v>
      </c>
      <c r="D18" s="8">
        <v>25</v>
      </c>
      <c r="E18" s="8">
        <v>90</v>
      </c>
      <c r="F18" s="3" t="s">
        <v>129</v>
      </c>
    </row>
    <row r="19" spans="1:6" ht="25.5" x14ac:dyDescent="0.25">
      <c r="A19" s="3" t="s">
        <v>130</v>
      </c>
      <c r="B19" s="4" t="s">
        <v>131</v>
      </c>
      <c r="C19" s="7">
        <v>18</v>
      </c>
      <c r="D19" s="8">
        <v>10</v>
      </c>
      <c r="E19" s="8">
        <v>25</v>
      </c>
      <c r="F19" s="3" t="s">
        <v>132</v>
      </c>
    </row>
    <row r="20" spans="1:6" ht="25.5" x14ac:dyDescent="0.25">
      <c r="A20" s="3" t="s">
        <v>133</v>
      </c>
      <c r="B20" s="4" t="s">
        <v>134</v>
      </c>
      <c r="C20" s="7">
        <v>35000</v>
      </c>
      <c r="D20" s="8">
        <v>3000</v>
      </c>
      <c r="E20" s="8">
        <v>300000</v>
      </c>
      <c r="F20" s="3" t="s">
        <v>135</v>
      </c>
    </row>
    <row r="21" spans="1:6" ht="18" customHeight="1" x14ac:dyDescent="0.25">
      <c r="A21" s="3" t="s">
        <v>136</v>
      </c>
      <c r="B21" s="4" t="s">
        <v>80</v>
      </c>
      <c r="C21" s="7">
        <v>18</v>
      </c>
      <c r="D21" s="8">
        <v>10</v>
      </c>
      <c r="E21" s="8">
        <v>35</v>
      </c>
      <c r="F21" s="3" t="s">
        <v>137</v>
      </c>
    </row>
    <row r="22" spans="1:6" ht="25.5" x14ac:dyDescent="0.25">
      <c r="A22" s="3" t="s">
        <v>138</v>
      </c>
      <c r="B22" s="4" t="s">
        <v>15</v>
      </c>
      <c r="C22" s="7">
        <v>8</v>
      </c>
      <c r="D22" s="8">
        <v>3</v>
      </c>
      <c r="E22" s="8">
        <v>30</v>
      </c>
      <c r="F22" s="3" t="s">
        <v>139</v>
      </c>
    </row>
    <row r="23" spans="1:6" ht="18" customHeight="1" x14ac:dyDescent="0.25">
      <c r="A23" s="3" t="s">
        <v>140</v>
      </c>
      <c r="B23" s="4" t="s">
        <v>141</v>
      </c>
      <c r="C23" s="7">
        <v>22000</v>
      </c>
      <c r="D23" s="8">
        <v>1000</v>
      </c>
      <c r="E23" s="8">
        <v>200000</v>
      </c>
      <c r="F23" s="3" t="s">
        <v>142</v>
      </c>
    </row>
    <row r="24" spans="1:6" ht="25.5" x14ac:dyDescent="0.25">
      <c r="A24" s="3" t="s">
        <v>143</v>
      </c>
      <c r="B24" s="4" t="s">
        <v>123</v>
      </c>
      <c r="C24" s="7">
        <v>280</v>
      </c>
      <c r="D24" s="8">
        <v>30</v>
      </c>
      <c r="E24" s="8">
        <v>1200</v>
      </c>
      <c r="F24" s="3" t="s">
        <v>144</v>
      </c>
    </row>
    <row r="25" spans="1:6" ht="18" customHeight="1" x14ac:dyDescent="0.25">
      <c r="A25" s="15" t="s">
        <v>145</v>
      </c>
      <c r="B25" s="15"/>
      <c r="C25" s="15"/>
      <c r="D25" s="15"/>
      <c r="E25" s="15"/>
      <c r="F25" s="15"/>
    </row>
    <row r="26" spans="1:6" ht="25.5" x14ac:dyDescent="0.25">
      <c r="A26" s="3" t="s">
        <v>146</v>
      </c>
      <c r="B26" s="4" t="s">
        <v>123</v>
      </c>
      <c r="C26" s="7">
        <v>420</v>
      </c>
      <c r="D26" s="8">
        <v>50</v>
      </c>
      <c r="E26" s="8">
        <v>3000</v>
      </c>
      <c r="F26" s="3" t="s">
        <v>147</v>
      </c>
    </row>
    <row r="27" spans="1:6" ht="25.5" x14ac:dyDescent="0.25">
      <c r="A27" s="3" t="s">
        <v>148</v>
      </c>
      <c r="B27" s="4" t="s">
        <v>15</v>
      </c>
      <c r="C27" s="7">
        <v>8</v>
      </c>
      <c r="D27" s="8">
        <v>2</v>
      </c>
      <c r="E27" s="8">
        <v>40</v>
      </c>
      <c r="F27" s="3" t="s">
        <v>149</v>
      </c>
    </row>
    <row r="28" spans="1:6" ht="25.5" x14ac:dyDescent="0.25">
      <c r="A28" s="3" t="s">
        <v>150</v>
      </c>
      <c r="B28" s="4" t="s">
        <v>9</v>
      </c>
      <c r="C28" s="7">
        <f>C4*0.6</f>
        <v>51000</v>
      </c>
      <c r="D28" s="13">
        <f t="shared" ref="D28:E28" si="0">D4*0.6</f>
        <v>4800</v>
      </c>
      <c r="E28" s="13">
        <f t="shared" si="0"/>
        <v>300000</v>
      </c>
      <c r="F28" s="10" t="s">
        <v>362</v>
      </c>
    </row>
    <row r="29" spans="1:6" ht="25.5" x14ac:dyDescent="0.25">
      <c r="A29" s="3" t="s">
        <v>151</v>
      </c>
      <c r="B29" s="4" t="s">
        <v>152</v>
      </c>
      <c r="C29" s="7">
        <v>85</v>
      </c>
      <c r="D29" s="8">
        <v>10</v>
      </c>
      <c r="E29" s="8">
        <v>500</v>
      </c>
      <c r="F29" s="3" t="s">
        <v>153</v>
      </c>
    </row>
    <row r="30" spans="1:6" ht="18" customHeight="1" x14ac:dyDescent="0.25">
      <c r="A30" s="15" t="s">
        <v>49</v>
      </c>
      <c r="B30" s="15"/>
      <c r="C30" s="15"/>
      <c r="D30" s="15"/>
      <c r="E30" s="15"/>
      <c r="F30" s="15"/>
    </row>
    <row r="31" spans="1:6" ht="25.5" x14ac:dyDescent="0.25">
      <c r="A31" s="3" t="s">
        <v>154</v>
      </c>
      <c r="B31" s="4" t="s">
        <v>51</v>
      </c>
      <c r="C31" s="7">
        <v>320</v>
      </c>
      <c r="D31" s="8">
        <v>50</v>
      </c>
      <c r="E31" s="8">
        <v>2000</v>
      </c>
      <c r="F31" s="10" t="s">
        <v>358</v>
      </c>
    </row>
    <row r="32" spans="1:6" ht="25.5" x14ac:dyDescent="0.25">
      <c r="A32" s="3" t="s">
        <v>155</v>
      </c>
      <c r="B32" s="4" t="s">
        <v>51</v>
      </c>
      <c r="C32" s="7">
        <v>180</v>
      </c>
      <c r="D32" s="8">
        <v>30</v>
      </c>
      <c r="E32" s="8">
        <v>800</v>
      </c>
      <c r="F32" s="3" t="s">
        <v>156</v>
      </c>
    </row>
    <row r="33" spans="1:6" ht="25.5" x14ac:dyDescent="0.25">
      <c r="A33" s="3" t="s">
        <v>157</v>
      </c>
      <c r="B33" s="4" t="s">
        <v>58</v>
      </c>
      <c r="C33" s="7">
        <v>100000</v>
      </c>
      <c r="D33" s="8">
        <v>70000</v>
      </c>
      <c r="E33" s="8">
        <v>150000</v>
      </c>
      <c r="F33" s="3"/>
    </row>
    <row r="34" spans="1:6" x14ac:dyDescent="0.25">
      <c r="A34" s="3" t="s">
        <v>158</v>
      </c>
      <c r="B34" s="4" t="s">
        <v>58</v>
      </c>
      <c r="C34" s="7">
        <v>65000</v>
      </c>
      <c r="D34" s="8">
        <v>38000</v>
      </c>
      <c r="E34" s="8">
        <v>85000</v>
      </c>
      <c r="F34" s="10" t="s">
        <v>359</v>
      </c>
    </row>
    <row r="35" spans="1:6" x14ac:dyDescent="0.25">
      <c r="A35" s="3" t="s">
        <v>159</v>
      </c>
      <c r="B35" s="11" t="s">
        <v>336</v>
      </c>
      <c r="C35" s="7">
        <v>1.302</v>
      </c>
      <c r="D35" s="8">
        <v>1.302</v>
      </c>
      <c r="E35" s="8">
        <v>1.302</v>
      </c>
      <c r="F35" s="3" t="s">
        <v>160</v>
      </c>
    </row>
    <row r="36" spans="1:6" x14ac:dyDescent="0.25">
      <c r="A36" s="3" t="s">
        <v>161</v>
      </c>
      <c r="B36" s="4" t="s">
        <v>44</v>
      </c>
      <c r="C36" s="7">
        <v>35</v>
      </c>
      <c r="D36" s="8">
        <v>15</v>
      </c>
      <c r="E36" s="8">
        <v>60</v>
      </c>
      <c r="F36" s="3"/>
    </row>
    <row r="37" spans="1:6" ht="18" customHeight="1" x14ac:dyDescent="0.25">
      <c r="A37" s="15" t="s">
        <v>162</v>
      </c>
      <c r="B37" s="15"/>
      <c r="C37" s="15"/>
      <c r="D37" s="15"/>
      <c r="E37" s="15"/>
      <c r="F37" s="15"/>
    </row>
    <row r="38" spans="1:6" ht="25.5" x14ac:dyDescent="0.25">
      <c r="A38" s="3" t="s">
        <v>163</v>
      </c>
      <c r="B38" s="4" t="s">
        <v>15</v>
      </c>
      <c r="C38" s="5">
        <v>4</v>
      </c>
      <c r="D38" s="4">
        <v>2</v>
      </c>
      <c r="E38" s="4">
        <v>8</v>
      </c>
      <c r="F38" s="3" t="s">
        <v>164</v>
      </c>
    </row>
    <row r="39" spans="1:6" ht="25.5" x14ac:dyDescent="0.25">
      <c r="A39" s="3" t="s">
        <v>165</v>
      </c>
      <c r="B39" s="11" t="s">
        <v>336</v>
      </c>
      <c r="C39" s="5" t="s">
        <v>166</v>
      </c>
      <c r="D39" s="11" t="s">
        <v>336</v>
      </c>
      <c r="E39" s="11" t="s">
        <v>336</v>
      </c>
      <c r="F39" s="3" t="s">
        <v>167</v>
      </c>
    </row>
    <row r="40" spans="1:6" ht="25.5" x14ac:dyDescent="0.25">
      <c r="A40" s="3" t="s">
        <v>168</v>
      </c>
      <c r="B40" s="11" t="s">
        <v>336</v>
      </c>
      <c r="C40" s="5" t="s">
        <v>169</v>
      </c>
      <c r="D40" s="11" t="s">
        <v>336</v>
      </c>
      <c r="E40" s="11" t="s">
        <v>336</v>
      </c>
      <c r="F40" s="3" t="s">
        <v>170</v>
      </c>
    </row>
    <row r="41" spans="1:6" x14ac:dyDescent="0.25">
      <c r="A41" s="3" t="s">
        <v>171</v>
      </c>
      <c r="B41" s="4" t="s">
        <v>172</v>
      </c>
      <c r="C41" s="5">
        <v>70</v>
      </c>
      <c r="D41" s="4">
        <v>55</v>
      </c>
      <c r="E41" s="4">
        <v>80</v>
      </c>
      <c r="F41" s="3" t="s">
        <v>173</v>
      </c>
    </row>
    <row r="42" spans="1:6" ht="25.5" x14ac:dyDescent="0.25">
      <c r="A42" s="3" t="s">
        <v>174</v>
      </c>
      <c r="B42" s="4" t="s">
        <v>88</v>
      </c>
      <c r="C42" s="5">
        <v>-25</v>
      </c>
      <c r="D42" s="4">
        <v>-40</v>
      </c>
      <c r="E42" s="4">
        <v>0</v>
      </c>
      <c r="F42" s="10" t="s">
        <v>360</v>
      </c>
    </row>
    <row r="43" spans="1:6" ht="18" customHeight="1" x14ac:dyDescent="0.25">
      <c r="A43" s="15" t="s">
        <v>175</v>
      </c>
      <c r="B43" s="15"/>
      <c r="C43" s="15"/>
      <c r="D43" s="15"/>
      <c r="E43" s="15"/>
      <c r="F43" s="15"/>
    </row>
    <row r="44" spans="1:6" ht="63.75" x14ac:dyDescent="0.25">
      <c r="A44" s="3" t="s">
        <v>176</v>
      </c>
      <c r="B44" s="11" t="s">
        <v>336</v>
      </c>
      <c r="C44" s="5" t="s">
        <v>177</v>
      </c>
      <c r="D44" s="11" t="s">
        <v>177</v>
      </c>
      <c r="E44" s="11" t="s">
        <v>177</v>
      </c>
      <c r="F44" s="3" t="s">
        <v>380</v>
      </c>
    </row>
    <row r="45" spans="1:6" ht="25.5" x14ac:dyDescent="0.25">
      <c r="A45" s="3" t="s">
        <v>178</v>
      </c>
      <c r="B45" s="11" t="s">
        <v>336</v>
      </c>
      <c r="C45" s="12" t="s">
        <v>177</v>
      </c>
      <c r="D45" s="11" t="s">
        <v>177</v>
      </c>
      <c r="E45" s="11" t="s">
        <v>177</v>
      </c>
      <c r="F45" s="3" t="s">
        <v>180</v>
      </c>
    </row>
    <row r="46" spans="1:6" ht="25.5" x14ac:dyDescent="0.25">
      <c r="A46" s="3" t="s">
        <v>181</v>
      </c>
      <c r="B46" s="4" t="s">
        <v>92</v>
      </c>
      <c r="C46" s="5">
        <v>300</v>
      </c>
      <c r="D46" s="4">
        <v>50</v>
      </c>
      <c r="E46" s="4">
        <v>2000</v>
      </c>
      <c r="F46" s="3" t="s">
        <v>182</v>
      </c>
    </row>
    <row r="47" spans="1:6" ht="25.5" x14ac:dyDescent="0.25">
      <c r="A47" s="3" t="s">
        <v>97</v>
      </c>
      <c r="B47" s="4" t="s">
        <v>98</v>
      </c>
      <c r="C47" s="5">
        <v>120</v>
      </c>
      <c r="D47" s="4">
        <v>20</v>
      </c>
      <c r="E47" s="4">
        <v>800</v>
      </c>
      <c r="F47" s="3"/>
    </row>
    <row r="48" spans="1:6" ht="25.5" x14ac:dyDescent="0.25">
      <c r="A48" s="3" t="s">
        <v>100</v>
      </c>
      <c r="B48" s="4" t="s">
        <v>101</v>
      </c>
      <c r="C48" s="5">
        <v>7</v>
      </c>
      <c r="D48" s="4">
        <v>5</v>
      </c>
      <c r="E48" s="4">
        <v>15</v>
      </c>
      <c r="F48" s="10" t="s">
        <v>361</v>
      </c>
    </row>
  </sheetData>
  <mergeCells count="8">
    <mergeCell ref="A30:F30"/>
    <mergeCell ref="A37:F37"/>
    <mergeCell ref="A43:F43"/>
    <mergeCell ref="A1:F1"/>
    <mergeCell ref="A3:F3"/>
    <mergeCell ref="A9:F9"/>
    <mergeCell ref="A15:F15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"/>
  <sheetViews>
    <sheetView zoomScale="145" zoomScaleNormal="145" workbookViewId="0">
      <pane ySplit="2" topLeftCell="A20" activePane="bottomLeft" state="frozen"/>
      <selection pane="bottomLeft" sqref="A1:F1"/>
    </sheetView>
  </sheetViews>
  <sheetFormatPr defaultColWidth="8.7109375" defaultRowHeight="15" x14ac:dyDescent="0.25"/>
  <cols>
    <col min="1" max="1" width="40" customWidth="1"/>
    <col min="2" max="2" width="14" customWidth="1"/>
    <col min="3" max="3" width="18" customWidth="1"/>
    <col min="4" max="5" width="14" customWidth="1"/>
    <col min="6" max="6" width="50" customWidth="1"/>
  </cols>
  <sheetData>
    <row r="1" spans="1:6" x14ac:dyDescent="0.25">
      <c r="A1" s="14" t="s">
        <v>183</v>
      </c>
      <c r="B1" s="14"/>
      <c r="C1" s="14"/>
      <c r="D1" s="14"/>
      <c r="E1" s="14"/>
      <c r="F1" s="14"/>
    </row>
    <row r="2" spans="1:6" ht="25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5" t="s">
        <v>7</v>
      </c>
      <c r="B3" s="15"/>
      <c r="C3" s="15"/>
      <c r="D3" s="15"/>
      <c r="E3" s="15"/>
      <c r="F3" s="15"/>
    </row>
    <row r="4" spans="1:6" ht="25.5" x14ac:dyDescent="0.25">
      <c r="A4" s="3" t="s">
        <v>184</v>
      </c>
      <c r="B4" s="11" t="s">
        <v>336</v>
      </c>
      <c r="C4" s="7" t="s">
        <v>185</v>
      </c>
      <c r="D4" s="13" t="s">
        <v>336</v>
      </c>
      <c r="E4" s="13" t="s">
        <v>336</v>
      </c>
      <c r="F4" s="3" t="s">
        <v>186</v>
      </c>
    </row>
    <row r="5" spans="1:6" x14ac:dyDescent="0.25">
      <c r="A5" s="3" t="s">
        <v>187</v>
      </c>
      <c r="B5" s="4" t="s">
        <v>9</v>
      </c>
      <c r="C5" s="7">
        <v>45000</v>
      </c>
      <c r="D5" s="8">
        <v>3000</v>
      </c>
      <c r="E5" s="8">
        <v>200000</v>
      </c>
      <c r="F5" s="3" t="s">
        <v>188</v>
      </c>
    </row>
    <row r="6" spans="1:6" ht="25.5" x14ac:dyDescent="0.25">
      <c r="A6" s="3" t="s">
        <v>189</v>
      </c>
      <c r="B6" s="4" t="s">
        <v>15</v>
      </c>
      <c r="C6" s="7">
        <v>9</v>
      </c>
      <c r="D6" s="8">
        <v>3</v>
      </c>
      <c r="E6" s="8">
        <v>20</v>
      </c>
      <c r="F6" s="3" t="s">
        <v>190</v>
      </c>
    </row>
    <row r="7" spans="1:6" x14ac:dyDescent="0.25">
      <c r="A7" s="3" t="s">
        <v>191</v>
      </c>
      <c r="B7" s="4" t="s">
        <v>15</v>
      </c>
      <c r="C7" s="7">
        <v>4</v>
      </c>
      <c r="D7" s="8">
        <v>1</v>
      </c>
      <c r="E7" s="8">
        <v>12</v>
      </c>
      <c r="F7" s="10" t="s">
        <v>363</v>
      </c>
    </row>
    <row r="8" spans="1:6" ht="25.5" x14ac:dyDescent="0.25">
      <c r="A8" s="3" t="s">
        <v>192</v>
      </c>
      <c r="B8" s="4" t="s">
        <v>193</v>
      </c>
      <c r="C8" s="7">
        <v>650</v>
      </c>
      <c r="D8" s="8">
        <v>50</v>
      </c>
      <c r="E8" s="8">
        <v>2500</v>
      </c>
      <c r="F8" s="3" t="s">
        <v>194</v>
      </c>
    </row>
    <row r="9" spans="1:6" ht="25.5" x14ac:dyDescent="0.25">
      <c r="A9" s="3" t="s">
        <v>195</v>
      </c>
      <c r="B9" s="4" t="s">
        <v>44</v>
      </c>
      <c r="C9" s="7">
        <v>82</v>
      </c>
      <c r="D9" s="8">
        <v>60</v>
      </c>
      <c r="E9" s="8">
        <v>95</v>
      </c>
      <c r="F9" s="3" t="s">
        <v>196</v>
      </c>
    </row>
    <row r="10" spans="1:6" ht="25.5" x14ac:dyDescent="0.25">
      <c r="A10" s="3" t="s">
        <v>197</v>
      </c>
      <c r="B10" s="4" t="s">
        <v>15</v>
      </c>
      <c r="C10" s="7">
        <v>12</v>
      </c>
      <c r="D10" s="8">
        <v>2</v>
      </c>
      <c r="E10" s="8">
        <v>40</v>
      </c>
      <c r="F10" s="3" t="s">
        <v>198</v>
      </c>
    </row>
    <row r="11" spans="1:6" ht="25.5" x14ac:dyDescent="0.25">
      <c r="A11" s="3" t="s">
        <v>199</v>
      </c>
      <c r="B11" s="4" t="s">
        <v>200</v>
      </c>
      <c r="C11" s="7">
        <v>850</v>
      </c>
      <c r="D11" s="8">
        <v>100</v>
      </c>
      <c r="E11" s="8">
        <v>5000</v>
      </c>
      <c r="F11" s="3" t="s">
        <v>201</v>
      </c>
    </row>
    <row r="12" spans="1:6" x14ac:dyDescent="0.25">
      <c r="A12" s="15" t="s">
        <v>24</v>
      </c>
      <c r="B12" s="15"/>
      <c r="C12" s="15"/>
      <c r="D12" s="15"/>
      <c r="E12" s="15"/>
      <c r="F12" s="15"/>
    </row>
    <row r="13" spans="1:6" ht="25.5" x14ac:dyDescent="0.25">
      <c r="A13" s="3" t="s">
        <v>202</v>
      </c>
      <c r="B13" s="11" t="s">
        <v>336</v>
      </c>
      <c r="C13" s="5" t="s">
        <v>203</v>
      </c>
      <c r="D13" s="11" t="s">
        <v>336</v>
      </c>
      <c r="E13" s="11" t="s">
        <v>336</v>
      </c>
      <c r="F13" s="3" t="s">
        <v>204</v>
      </c>
    </row>
    <row r="14" spans="1:6" x14ac:dyDescent="0.25">
      <c r="A14" s="3" t="s">
        <v>205</v>
      </c>
      <c r="B14" s="11" t="s">
        <v>336</v>
      </c>
      <c r="C14" s="12" t="s">
        <v>365</v>
      </c>
      <c r="D14" s="11" t="s">
        <v>336</v>
      </c>
      <c r="E14" s="11" t="s">
        <v>336</v>
      </c>
      <c r="F14" s="3" t="s">
        <v>206</v>
      </c>
    </row>
    <row r="15" spans="1:6" ht="25.5" x14ac:dyDescent="0.25">
      <c r="A15" s="3" t="s">
        <v>207</v>
      </c>
      <c r="B15" s="4" t="s">
        <v>208</v>
      </c>
      <c r="C15" s="5">
        <v>3</v>
      </c>
      <c r="D15" s="4">
        <v>2</v>
      </c>
      <c r="E15" s="4">
        <v>3</v>
      </c>
      <c r="F15" s="3" t="s">
        <v>209</v>
      </c>
    </row>
    <row r="16" spans="1:6" ht="25.5" x14ac:dyDescent="0.25">
      <c r="A16" s="3" t="s">
        <v>210</v>
      </c>
      <c r="B16" s="11" t="s">
        <v>336</v>
      </c>
      <c r="C16" s="12" t="s">
        <v>364</v>
      </c>
      <c r="D16" s="11" t="s">
        <v>336</v>
      </c>
      <c r="E16" s="11" t="s">
        <v>336</v>
      </c>
      <c r="F16" s="3" t="s">
        <v>211</v>
      </c>
    </row>
    <row r="17" spans="1:6" x14ac:dyDescent="0.25">
      <c r="A17" s="15" t="s">
        <v>212</v>
      </c>
      <c r="B17" s="15"/>
      <c r="C17" s="15"/>
      <c r="D17" s="15"/>
      <c r="E17" s="15"/>
      <c r="F17" s="15"/>
    </row>
    <row r="18" spans="1:6" ht="25.5" x14ac:dyDescent="0.25">
      <c r="A18" s="3" t="s">
        <v>213</v>
      </c>
      <c r="B18" s="4" t="s">
        <v>214</v>
      </c>
      <c r="C18" s="7">
        <v>3</v>
      </c>
      <c r="D18" s="8">
        <v>3</v>
      </c>
      <c r="E18" s="8">
        <v>5</v>
      </c>
      <c r="F18" s="3" t="s">
        <v>215</v>
      </c>
    </row>
    <row r="19" spans="1:6" x14ac:dyDescent="0.25">
      <c r="A19" s="3" t="s">
        <v>216</v>
      </c>
      <c r="B19" s="4" t="s">
        <v>141</v>
      </c>
      <c r="C19" s="7">
        <v>1950</v>
      </c>
      <c r="D19" s="8">
        <v>150</v>
      </c>
      <c r="E19" s="8">
        <v>7500</v>
      </c>
      <c r="F19" s="3" t="s">
        <v>217</v>
      </c>
    </row>
    <row r="20" spans="1:6" ht="25.5" x14ac:dyDescent="0.25">
      <c r="A20" s="3" t="s">
        <v>218</v>
      </c>
      <c r="B20" s="4" t="s">
        <v>13</v>
      </c>
      <c r="C20" s="7">
        <v>180</v>
      </c>
      <c r="D20" s="8">
        <v>30</v>
      </c>
      <c r="E20" s="8">
        <v>500</v>
      </c>
      <c r="F20" s="3" t="s">
        <v>219</v>
      </c>
    </row>
    <row r="21" spans="1:6" ht="25.5" x14ac:dyDescent="0.25">
      <c r="A21" s="3" t="s">
        <v>220</v>
      </c>
      <c r="B21" s="4" t="s">
        <v>15</v>
      </c>
      <c r="C21" s="7">
        <v>18</v>
      </c>
      <c r="D21" s="8">
        <v>4</v>
      </c>
      <c r="E21" s="8">
        <v>60</v>
      </c>
      <c r="F21" s="3" t="s">
        <v>221</v>
      </c>
    </row>
    <row r="22" spans="1:6" ht="25.5" x14ac:dyDescent="0.25">
      <c r="A22" s="3" t="s">
        <v>222</v>
      </c>
      <c r="B22" s="4" t="s">
        <v>80</v>
      </c>
      <c r="C22" s="7">
        <v>120</v>
      </c>
      <c r="D22" s="8">
        <v>40</v>
      </c>
      <c r="E22" s="8">
        <v>250</v>
      </c>
      <c r="F22" s="10" t="s">
        <v>366</v>
      </c>
    </row>
    <row r="23" spans="1:6" ht="25.5" x14ac:dyDescent="0.25">
      <c r="A23" s="3" t="s">
        <v>223</v>
      </c>
      <c r="B23" s="4" t="s">
        <v>128</v>
      </c>
      <c r="C23" s="7">
        <v>20</v>
      </c>
      <c r="D23" s="8">
        <v>10</v>
      </c>
      <c r="E23" s="8">
        <v>35</v>
      </c>
      <c r="F23" s="3" t="s">
        <v>224</v>
      </c>
    </row>
    <row r="24" spans="1:6" x14ac:dyDescent="0.25">
      <c r="A24" s="15" t="s">
        <v>225</v>
      </c>
      <c r="B24" s="15"/>
      <c r="C24" s="15"/>
      <c r="D24" s="15"/>
      <c r="E24" s="15"/>
      <c r="F24" s="15"/>
    </row>
    <row r="25" spans="1:6" ht="25.5" x14ac:dyDescent="0.25">
      <c r="A25" s="3" t="s">
        <v>226</v>
      </c>
      <c r="B25" s="4" t="s">
        <v>227</v>
      </c>
      <c r="C25" s="7">
        <v>1800</v>
      </c>
      <c r="D25" s="8">
        <v>200</v>
      </c>
      <c r="E25" s="8">
        <v>8000</v>
      </c>
      <c r="F25" s="3" t="s">
        <v>228</v>
      </c>
    </row>
    <row r="26" spans="1:6" x14ac:dyDescent="0.25">
      <c r="A26" s="3" t="s">
        <v>229</v>
      </c>
      <c r="B26" s="4" t="s">
        <v>227</v>
      </c>
      <c r="C26" s="7">
        <v>1800</v>
      </c>
      <c r="D26" s="8">
        <v>200</v>
      </c>
      <c r="E26" s="8">
        <v>8000</v>
      </c>
      <c r="F26" s="3" t="s">
        <v>230</v>
      </c>
    </row>
    <row r="27" spans="1:6" x14ac:dyDescent="0.25">
      <c r="A27" s="3" t="s">
        <v>231</v>
      </c>
      <c r="B27" s="4" t="s">
        <v>15</v>
      </c>
      <c r="C27" s="7">
        <v>18</v>
      </c>
      <c r="D27" s="8">
        <v>4</v>
      </c>
      <c r="E27" s="8">
        <v>60</v>
      </c>
      <c r="F27" s="3" t="s">
        <v>232</v>
      </c>
    </row>
    <row r="28" spans="1:6" ht="25.5" x14ac:dyDescent="0.25">
      <c r="A28" s="3" t="s">
        <v>233</v>
      </c>
      <c r="B28" s="4" t="s">
        <v>214</v>
      </c>
      <c r="C28" s="7">
        <v>1.3</v>
      </c>
      <c r="D28" s="8">
        <v>1</v>
      </c>
      <c r="E28" s="8">
        <v>3</v>
      </c>
      <c r="F28" s="3" t="s">
        <v>234</v>
      </c>
    </row>
    <row r="29" spans="1:6" ht="25.5" x14ac:dyDescent="0.25">
      <c r="A29" s="3" t="s">
        <v>235</v>
      </c>
      <c r="B29" s="4" t="s">
        <v>80</v>
      </c>
      <c r="C29" s="7">
        <v>55</v>
      </c>
      <c r="D29" s="8">
        <v>20</v>
      </c>
      <c r="E29" s="8">
        <v>120</v>
      </c>
      <c r="F29" s="3" t="s">
        <v>236</v>
      </c>
    </row>
    <row r="30" spans="1:6" x14ac:dyDescent="0.25">
      <c r="A30" s="15" t="s">
        <v>237</v>
      </c>
      <c r="B30" s="15"/>
      <c r="C30" s="15"/>
      <c r="D30" s="15"/>
      <c r="E30" s="15"/>
      <c r="F30" s="15"/>
    </row>
    <row r="31" spans="1:6" ht="25.5" x14ac:dyDescent="0.25">
      <c r="A31" s="3" t="s">
        <v>238</v>
      </c>
      <c r="B31" s="4" t="s">
        <v>239</v>
      </c>
      <c r="C31" s="7">
        <v>2800</v>
      </c>
      <c r="D31" s="8">
        <v>300</v>
      </c>
      <c r="E31" s="8">
        <v>8000</v>
      </c>
      <c r="F31" s="3" t="s">
        <v>240</v>
      </c>
    </row>
    <row r="32" spans="1:6" ht="25.5" x14ac:dyDescent="0.25">
      <c r="A32" s="3" t="s">
        <v>241</v>
      </c>
      <c r="B32" s="4" t="s">
        <v>242</v>
      </c>
      <c r="C32" s="7">
        <v>340</v>
      </c>
      <c r="D32" s="8">
        <v>40</v>
      </c>
      <c r="E32" s="8">
        <v>1500</v>
      </c>
      <c r="F32" s="3" t="s">
        <v>243</v>
      </c>
    </row>
    <row r="33" spans="1:6" ht="25.5" x14ac:dyDescent="0.25">
      <c r="A33" s="3" t="s">
        <v>244</v>
      </c>
      <c r="B33" s="4" t="s">
        <v>15</v>
      </c>
      <c r="C33" s="7">
        <v>2</v>
      </c>
      <c r="D33" s="8">
        <v>1</v>
      </c>
      <c r="E33" s="8">
        <v>6</v>
      </c>
      <c r="F33" s="3" t="s">
        <v>245</v>
      </c>
    </row>
    <row r="34" spans="1:6" ht="25.5" x14ac:dyDescent="0.25">
      <c r="A34" s="3" t="s">
        <v>246</v>
      </c>
      <c r="B34" s="4" t="s">
        <v>15</v>
      </c>
      <c r="C34" s="7">
        <v>22</v>
      </c>
      <c r="D34" s="8">
        <v>5</v>
      </c>
      <c r="E34" s="8">
        <v>70</v>
      </c>
      <c r="F34" s="3" t="s">
        <v>247</v>
      </c>
    </row>
    <row r="35" spans="1:6" ht="25.5" x14ac:dyDescent="0.25">
      <c r="A35" s="3" t="s">
        <v>248</v>
      </c>
      <c r="B35" s="4" t="s">
        <v>128</v>
      </c>
      <c r="C35" s="7">
        <v>12</v>
      </c>
      <c r="D35" s="8">
        <v>5</v>
      </c>
      <c r="E35" s="8">
        <v>30</v>
      </c>
      <c r="F35" s="3" t="s">
        <v>249</v>
      </c>
    </row>
    <row r="36" spans="1:6" ht="25.5" x14ac:dyDescent="0.25">
      <c r="A36" s="3" t="s">
        <v>250</v>
      </c>
      <c r="B36" s="4" t="s">
        <v>44</v>
      </c>
      <c r="C36" s="7">
        <v>8</v>
      </c>
      <c r="D36" s="8">
        <v>2</v>
      </c>
      <c r="E36" s="8">
        <v>20</v>
      </c>
      <c r="F36" s="3" t="s">
        <v>251</v>
      </c>
    </row>
    <row r="37" spans="1:6" ht="25.5" x14ac:dyDescent="0.25">
      <c r="A37" s="3" t="s">
        <v>252</v>
      </c>
      <c r="B37" s="4" t="s">
        <v>123</v>
      </c>
      <c r="C37" s="7">
        <v>45</v>
      </c>
      <c r="D37" s="8">
        <v>10</v>
      </c>
      <c r="E37" s="8">
        <v>200</v>
      </c>
      <c r="F37" s="3" t="s">
        <v>253</v>
      </c>
    </row>
    <row r="38" spans="1:6" x14ac:dyDescent="0.25">
      <c r="A38" s="15" t="s">
        <v>254</v>
      </c>
      <c r="B38" s="15"/>
      <c r="C38" s="15"/>
      <c r="D38" s="15"/>
      <c r="E38" s="15"/>
      <c r="F38" s="15"/>
    </row>
    <row r="39" spans="1:6" x14ac:dyDescent="0.25">
      <c r="A39" s="3" t="s">
        <v>255</v>
      </c>
      <c r="B39" s="4" t="s">
        <v>256</v>
      </c>
      <c r="C39" s="7">
        <v>1200</v>
      </c>
      <c r="D39" s="8">
        <v>100</v>
      </c>
      <c r="E39" s="8">
        <v>6000</v>
      </c>
      <c r="F39" s="3" t="s">
        <v>257</v>
      </c>
    </row>
    <row r="40" spans="1:6" ht="25.5" x14ac:dyDescent="0.25">
      <c r="A40" s="3" t="s">
        <v>258</v>
      </c>
      <c r="B40" s="4" t="s">
        <v>15</v>
      </c>
      <c r="C40" s="7">
        <v>2</v>
      </c>
      <c r="D40" s="8">
        <v>1</v>
      </c>
      <c r="E40" s="8">
        <v>5</v>
      </c>
      <c r="F40" s="3" t="s">
        <v>259</v>
      </c>
    </row>
    <row r="41" spans="1:6" ht="25.5" x14ac:dyDescent="0.25">
      <c r="A41" s="3" t="s">
        <v>260</v>
      </c>
      <c r="B41" s="4" t="s">
        <v>128</v>
      </c>
      <c r="C41" s="7">
        <v>30</v>
      </c>
      <c r="D41" s="8">
        <v>10</v>
      </c>
      <c r="E41" s="8">
        <v>60</v>
      </c>
      <c r="F41" s="3" t="s">
        <v>261</v>
      </c>
    </row>
    <row r="42" spans="1:6" ht="25.5" x14ac:dyDescent="0.25">
      <c r="A42" s="3" t="s">
        <v>262</v>
      </c>
      <c r="B42" s="4" t="s">
        <v>123</v>
      </c>
      <c r="C42" s="7">
        <v>28</v>
      </c>
      <c r="D42" s="8">
        <v>5</v>
      </c>
      <c r="E42" s="8">
        <v>120</v>
      </c>
      <c r="F42" s="10" t="s">
        <v>379</v>
      </c>
    </row>
    <row r="43" spans="1:6" x14ac:dyDescent="0.25">
      <c r="A43" s="15" t="s">
        <v>263</v>
      </c>
      <c r="B43" s="15"/>
      <c r="C43" s="15"/>
      <c r="D43" s="15"/>
      <c r="E43" s="15"/>
      <c r="F43" s="15"/>
    </row>
    <row r="44" spans="1:6" ht="25.5" x14ac:dyDescent="0.25">
      <c r="A44" s="3" t="s">
        <v>264</v>
      </c>
      <c r="B44" s="4" t="s">
        <v>227</v>
      </c>
      <c r="C44" s="7">
        <v>850</v>
      </c>
      <c r="D44" s="8">
        <v>80</v>
      </c>
      <c r="E44" s="8">
        <v>4000</v>
      </c>
      <c r="F44" s="10" t="s">
        <v>368</v>
      </c>
    </row>
    <row r="45" spans="1:6" ht="25.5" x14ac:dyDescent="0.25">
      <c r="A45" s="3" t="s">
        <v>265</v>
      </c>
      <c r="B45" s="4" t="s">
        <v>227</v>
      </c>
      <c r="C45" s="7">
        <v>220</v>
      </c>
      <c r="D45" s="8">
        <v>20</v>
      </c>
      <c r="E45" s="8">
        <v>1200</v>
      </c>
      <c r="F45" s="10" t="s">
        <v>367</v>
      </c>
    </row>
    <row r="46" spans="1:6" x14ac:dyDescent="0.25">
      <c r="A46" s="3" t="s">
        <v>266</v>
      </c>
      <c r="B46" s="4" t="s">
        <v>15</v>
      </c>
      <c r="C46" s="7">
        <v>20</v>
      </c>
      <c r="D46" s="8">
        <v>4</v>
      </c>
      <c r="E46" s="8">
        <v>70</v>
      </c>
      <c r="F46" s="3" t="s">
        <v>267</v>
      </c>
    </row>
    <row r="47" spans="1:6" ht="25.5" x14ac:dyDescent="0.25">
      <c r="A47" s="3" t="s">
        <v>268</v>
      </c>
      <c r="B47" s="4" t="s">
        <v>214</v>
      </c>
      <c r="C47" s="7">
        <v>2</v>
      </c>
      <c r="D47" s="8">
        <v>1</v>
      </c>
      <c r="E47" s="8">
        <v>4</v>
      </c>
      <c r="F47" s="3" t="s">
        <v>269</v>
      </c>
    </row>
    <row r="48" spans="1:6" x14ac:dyDescent="0.25">
      <c r="A48" s="15" t="s">
        <v>270</v>
      </c>
      <c r="B48" s="15"/>
      <c r="C48" s="15"/>
      <c r="D48" s="15"/>
      <c r="E48" s="15"/>
      <c r="F48" s="15"/>
    </row>
    <row r="49" spans="1:6" ht="25.5" x14ac:dyDescent="0.25">
      <c r="A49" s="3" t="s">
        <v>271</v>
      </c>
      <c r="B49" s="4" t="s">
        <v>51</v>
      </c>
      <c r="C49" s="7">
        <v>65</v>
      </c>
      <c r="D49" s="8">
        <v>10</v>
      </c>
      <c r="E49" s="8">
        <v>300</v>
      </c>
      <c r="F49" s="10" t="s">
        <v>370</v>
      </c>
    </row>
    <row r="50" spans="1:6" ht="25.5" x14ac:dyDescent="0.25">
      <c r="A50" s="3" t="s">
        <v>272</v>
      </c>
      <c r="B50" s="4" t="s">
        <v>51</v>
      </c>
      <c r="C50" s="7">
        <v>28</v>
      </c>
      <c r="D50" s="8">
        <v>5</v>
      </c>
      <c r="E50" s="8">
        <v>100</v>
      </c>
      <c r="F50" s="10" t="s">
        <v>369</v>
      </c>
    </row>
    <row r="51" spans="1:6" ht="25.5" x14ac:dyDescent="0.25">
      <c r="A51" s="3" t="s">
        <v>273</v>
      </c>
      <c r="B51" s="4" t="s">
        <v>51</v>
      </c>
      <c r="C51" s="7">
        <v>18</v>
      </c>
      <c r="D51" s="8">
        <v>3</v>
      </c>
      <c r="E51" s="8">
        <v>60</v>
      </c>
      <c r="F51" s="3"/>
    </row>
    <row r="52" spans="1:6" ht="25.5" x14ac:dyDescent="0.25">
      <c r="A52" s="3" t="s">
        <v>274</v>
      </c>
      <c r="B52" s="4" t="s">
        <v>58</v>
      </c>
      <c r="C52" s="7">
        <v>55000</v>
      </c>
      <c r="D52" s="8">
        <v>38000</v>
      </c>
      <c r="E52" s="8">
        <v>85000</v>
      </c>
      <c r="F52" s="10" t="s">
        <v>378</v>
      </c>
    </row>
    <row r="53" spans="1:6" x14ac:dyDescent="0.25">
      <c r="A53" s="3" t="s">
        <v>275</v>
      </c>
      <c r="B53" s="4" t="s">
        <v>58</v>
      </c>
      <c r="C53" s="7">
        <v>52000</v>
      </c>
      <c r="D53" s="8">
        <v>35000</v>
      </c>
      <c r="E53" s="8">
        <v>75000</v>
      </c>
      <c r="F53" s="3"/>
    </row>
    <row r="54" spans="1:6" x14ac:dyDescent="0.25">
      <c r="A54" s="3" t="s">
        <v>159</v>
      </c>
      <c r="B54" s="11" t="s">
        <v>336</v>
      </c>
      <c r="C54" s="5">
        <v>1.302</v>
      </c>
      <c r="D54" s="4">
        <v>1.302</v>
      </c>
      <c r="E54" s="4">
        <v>1.302</v>
      </c>
      <c r="F54" s="3" t="s">
        <v>276</v>
      </c>
    </row>
    <row r="55" spans="1:6" ht="25.5" x14ac:dyDescent="0.25">
      <c r="A55" s="3" t="s">
        <v>277</v>
      </c>
      <c r="B55" s="4" t="s">
        <v>44</v>
      </c>
      <c r="C55" s="5">
        <v>45</v>
      </c>
      <c r="D55" s="4">
        <v>20</v>
      </c>
      <c r="E55" s="4">
        <v>70</v>
      </c>
      <c r="F55" s="3"/>
    </row>
    <row r="56" spans="1:6" x14ac:dyDescent="0.25">
      <c r="A56" s="15" t="s">
        <v>278</v>
      </c>
      <c r="B56" s="15"/>
      <c r="C56" s="15"/>
      <c r="D56" s="15"/>
      <c r="E56" s="15"/>
      <c r="F56" s="15"/>
    </row>
    <row r="57" spans="1:6" ht="25.5" x14ac:dyDescent="0.25">
      <c r="A57" s="3" t="s">
        <v>279</v>
      </c>
      <c r="B57" s="11" t="s">
        <v>336</v>
      </c>
      <c r="C57" s="5" t="s">
        <v>280</v>
      </c>
      <c r="D57" s="11" t="s">
        <v>336</v>
      </c>
      <c r="E57" s="11" t="s">
        <v>336</v>
      </c>
      <c r="F57" s="3" t="s">
        <v>281</v>
      </c>
    </row>
    <row r="58" spans="1:6" ht="25.5" x14ac:dyDescent="0.25">
      <c r="A58" s="3" t="s">
        <v>282</v>
      </c>
      <c r="B58" s="4" t="s">
        <v>172</v>
      </c>
      <c r="C58" s="5">
        <v>30</v>
      </c>
      <c r="D58" s="4">
        <v>25</v>
      </c>
      <c r="E58" s="4">
        <v>40</v>
      </c>
      <c r="F58" s="10" t="s">
        <v>372</v>
      </c>
    </row>
    <row r="59" spans="1:6" ht="25.5" x14ac:dyDescent="0.25">
      <c r="A59" s="3" t="s">
        <v>283</v>
      </c>
      <c r="B59" s="11" t="s">
        <v>336</v>
      </c>
      <c r="C59" s="5" t="s">
        <v>177</v>
      </c>
      <c r="D59" s="11" t="s">
        <v>336</v>
      </c>
      <c r="E59" s="11" t="s">
        <v>336</v>
      </c>
      <c r="F59" s="10" t="s">
        <v>371</v>
      </c>
    </row>
    <row r="60" spans="1:6" ht="51" x14ac:dyDescent="0.25">
      <c r="A60" s="3" t="s">
        <v>284</v>
      </c>
      <c r="B60" s="11" t="s">
        <v>336</v>
      </c>
      <c r="C60" s="5" t="s">
        <v>285</v>
      </c>
      <c r="D60" s="11" t="s">
        <v>336</v>
      </c>
      <c r="E60" s="11" t="s">
        <v>336</v>
      </c>
      <c r="F60" s="10" t="s">
        <v>373</v>
      </c>
    </row>
    <row r="61" spans="1:6" x14ac:dyDescent="0.25">
      <c r="A61" s="15" t="s">
        <v>175</v>
      </c>
      <c r="B61" s="15"/>
      <c r="C61" s="15"/>
      <c r="D61" s="15"/>
      <c r="E61" s="15"/>
      <c r="F61" s="15"/>
    </row>
    <row r="62" spans="1:6" ht="25.5" x14ac:dyDescent="0.25">
      <c r="A62" s="3" t="s">
        <v>286</v>
      </c>
      <c r="B62" s="11" t="s">
        <v>336</v>
      </c>
      <c r="C62" s="5" t="s">
        <v>287</v>
      </c>
      <c r="D62" s="11" t="s">
        <v>336</v>
      </c>
      <c r="E62" s="11" t="s">
        <v>336</v>
      </c>
      <c r="F62" s="10" t="s">
        <v>377</v>
      </c>
    </row>
    <row r="63" spans="1:6" ht="25.5" x14ac:dyDescent="0.25">
      <c r="A63" s="3" t="s">
        <v>288</v>
      </c>
      <c r="B63" s="11" t="s">
        <v>336</v>
      </c>
      <c r="C63" s="5" t="s">
        <v>177</v>
      </c>
      <c r="D63" s="11" t="s">
        <v>336</v>
      </c>
      <c r="E63" s="11" t="s">
        <v>336</v>
      </c>
      <c r="F63" s="3" t="s">
        <v>289</v>
      </c>
    </row>
    <row r="64" spans="1:6" ht="25.5" x14ac:dyDescent="0.25">
      <c r="A64" s="3" t="s">
        <v>290</v>
      </c>
      <c r="B64" s="11" t="s">
        <v>336</v>
      </c>
      <c r="C64" s="5" t="s">
        <v>179</v>
      </c>
      <c r="D64" s="11" t="s">
        <v>336</v>
      </c>
      <c r="E64" s="11" t="s">
        <v>336</v>
      </c>
      <c r="F64" s="3" t="s">
        <v>291</v>
      </c>
    </row>
    <row r="65" spans="1:6" ht="25.5" x14ac:dyDescent="0.25">
      <c r="A65" s="3" t="s">
        <v>292</v>
      </c>
      <c r="B65" s="4" t="s">
        <v>13</v>
      </c>
      <c r="C65" s="5">
        <v>2.4</v>
      </c>
      <c r="D65" s="4">
        <v>1.8</v>
      </c>
      <c r="E65" s="4">
        <v>3.5</v>
      </c>
      <c r="F65" s="10" t="s">
        <v>376</v>
      </c>
    </row>
    <row r="66" spans="1:6" ht="25.5" x14ac:dyDescent="0.25">
      <c r="A66" s="3" t="s">
        <v>293</v>
      </c>
      <c r="B66" s="11" t="s">
        <v>336</v>
      </c>
      <c r="C66" s="5" t="s">
        <v>294</v>
      </c>
      <c r="D66" s="11" t="s">
        <v>336</v>
      </c>
      <c r="E66" s="11" t="s">
        <v>336</v>
      </c>
      <c r="F66" s="10" t="s">
        <v>375</v>
      </c>
    </row>
    <row r="67" spans="1:6" ht="25.5" x14ac:dyDescent="0.25">
      <c r="A67" s="3" t="s">
        <v>181</v>
      </c>
      <c r="B67" s="4" t="s">
        <v>92</v>
      </c>
      <c r="C67" s="5">
        <v>80</v>
      </c>
      <c r="D67" s="4">
        <v>15</v>
      </c>
      <c r="E67" s="4">
        <v>400</v>
      </c>
      <c r="F67" s="3" t="s">
        <v>295</v>
      </c>
    </row>
    <row r="68" spans="1:6" ht="25.5" x14ac:dyDescent="0.25">
      <c r="A68" s="3" t="s">
        <v>97</v>
      </c>
      <c r="B68" s="4" t="s">
        <v>98</v>
      </c>
      <c r="C68" s="5">
        <v>35</v>
      </c>
      <c r="D68" s="4">
        <v>5</v>
      </c>
      <c r="E68" s="4">
        <v>200</v>
      </c>
      <c r="F68" s="10" t="s">
        <v>374</v>
      </c>
    </row>
    <row r="69" spans="1:6" x14ac:dyDescent="0.25">
      <c r="A69" s="3" t="s">
        <v>100</v>
      </c>
      <c r="B69" s="4" t="s">
        <v>101</v>
      </c>
      <c r="C69" s="5">
        <v>7</v>
      </c>
      <c r="D69" s="4">
        <v>5</v>
      </c>
      <c r="E69" s="4">
        <v>15</v>
      </c>
      <c r="F69" s="3"/>
    </row>
  </sheetData>
  <mergeCells count="11">
    <mergeCell ref="A1:F1"/>
    <mergeCell ref="A3:F3"/>
    <mergeCell ref="A12:F12"/>
    <mergeCell ref="A17:F17"/>
    <mergeCell ref="A24:F24"/>
    <mergeCell ref="A61:F61"/>
    <mergeCell ref="A30:F30"/>
    <mergeCell ref="A38:F38"/>
    <mergeCell ref="A43:F43"/>
    <mergeCell ref="A48:F48"/>
    <mergeCell ref="A56:F5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zoomScaleNormal="100" workbookViewId="0">
      <selection activeCell="B10" sqref="B10"/>
    </sheetView>
  </sheetViews>
  <sheetFormatPr defaultColWidth="8.7109375" defaultRowHeight="15" x14ac:dyDescent="0.25"/>
  <cols>
    <col min="1" max="1" width="35" customWidth="1"/>
    <col min="2" max="2" width="70" customWidth="1"/>
  </cols>
  <sheetData>
    <row r="1" spans="1:2" ht="27.75" customHeight="1" x14ac:dyDescent="0.25">
      <c r="A1" s="14" t="s">
        <v>296</v>
      </c>
      <c r="B1" s="14"/>
    </row>
    <row r="2" spans="1:2" ht="18" customHeight="1" x14ac:dyDescent="0.25">
      <c r="A2" s="16" t="s">
        <v>297</v>
      </c>
      <c r="B2" s="16"/>
    </row>
    <row r="3" spans="1:2" ht="18" customHeight="1" x14ac:dyDescent="0.25">
      <c r="A3" s="6" t="s">
        <v>3</v>
      </c>
      <c r="B3" s="9" t="s">
        <v>331</v>
      </c>
    </row>
    <row r="4" spans="1:2" x14ac:dyDescent="0.25">
      <c r="A4" s="6" t="s">
        <v>298</v>
      </c>
      <c r="B4" s="6" t="s">
        <v>299</v>
      </c>
    </row>
    <row r="5" spans="1:2" ht="25.5" x14ac:dyDescent="0.25">
      <c r="A5" s="6" t="s">
        <v>300</v>
      </c>
      <c r="B5" s="6" t="s">
        <v>301</v>
      </c>
    </row>
    <row r="6" spans="1:2" ht="18" customHeight="1" x14ac:dyDescent="0.25">
      <c r="A6" s="6"/>
      <c r="B6" s="6"/>
    </row>
    <row r="7" spans="1:2" ht="18" customHeight="1" x14ac:dyDescent="0.25">
      <c r="A7" s="16" t="s">
        <v>302</v>
      </c>
      <c r="B7" s="16"/>
    </row>
    <row r="8" spans="1:2" x14ac:dyDescent="0.25">
      <c r="A8" s="6" t="s">
        <v>303</v>
      </c>
      <c r="B8" s="6" t="s">
        <v>304</v>
      </c>
    </row>
    <row r="9" spans="1:2" ht="25.5" x14ac:dyDescent="0.25">
      <c r="A9" s="6" t="s">
        <v>305</v>
      </c>
      <c r="B9" s="6" t="s">
        <v>306</v>
      </c>
    </row>
    <row r="10" spans="1:2" ht="25.5" x14ac:dyDescent="0.25">
      <c r="A10" s="6" t="s">
        <v>307</v>
      </c>
      <c r="B10" s="6" t="s">
        <v>308</v>
      </c>
    </row>
    <row r="11" spans="1:2" ht="25.5" x14ac:dyDescent="0.25">
      <c r="A11" s="6" t="s">
        <v>309</v>
      </c>
      <c r="B11" s="6" t="s">
        <v>310</v>
      </c>
    </row>
    <row r="12" spans="1:2" ht="25.5" x14ac:dyDescent="0.25">
      <c r="A12" s="6" t="s">
        <v>311</v>
      </c>
      <c r="B12" s="6" t="s">
        <v>312</v>
      </c>
    </row>
    <row r="13" spans="1:2" ht="18" customHeight="1" x14ac:dyDescent="0.25">
      <c r="A13" s="6"/>
      <c r="B13" s="6"/>
    </row>
    <row r="14" spans="1:2" ht="18" customHeight="1" x14ac:dyDescent="0.25">
      <c r="A14" s="16" t="s">
        <v>313</v>
      </c>
      <c r="B14" s="16"/>
    </row>
    <row r="15" spans="1:2" ht="25.5" x14ac:dyDescent="0.25">
      <c r="A15" s="6" t="s">
        <v>314</v>
      </c>
      <c r="B15" s="6" t="s">
        <v>315</v>
      </c>
    </row>
    <row r="16" spans="1:2" ht="25.5" x14ac:dyDescent="0.25">
      <c r="A16" s="6" t="s">
        <v>316</v>
      </c>
      <c r="B16" s="6" t="s">
        <v>317</v>
      </c>
    </row>
    <row r="17" spans="1:2" ht="25.5" x14ac:dyDescent="0.25">
      <c r="A17" s="6" t="s">
        <v>318</v>
      </c>
      <c r="B17" s="6" t="s">
        <v>319</v>
      </c>
    </row>
    <row r="18" spans="1:2" ht="18" customHeight="1" x14ac:dyDescent="0.25">
      <c r="A18" s="6"/>
      <c r="B18" s="6"/>
    </row>
    <row r="19" spans="1:2" ht="18" customHeight="1" x14ac:dyDescent="0.25">
      <c r="A19" s="16" t="s">
        <v>320</v>
      </c>
      <c r="B19" s="16"/>
    </row>
    <row r="20" spans="1:2" ht="25.5" x14ac:dyDescent="0.25">
      <c r="A20" s="6" t="s">
        <v>321</v>
      </c>
      <c r="B20" s="6" t="s">
        <v>322</v>
      </c>
    </row>
    <row r="21" spans="1:2" x14ac:dyDescent="0.25">
      <c r="A21" s="6" t="s">
        <v>323</v>
      </c>
      <c r="B21" s="6" t="s">
        <v>324</v>
      </c>
    </row>
    <row r="22" spans="1:2" x14ac:dyDescent="0.25">
      <c r="A22" s="6" t="s">
        <v>325</v>
      </c>
      <c r="B22" s="6" t="s">
        <v>326</v>
      </c>
    </row>
    <row r="23" spans="1:2" ht="25.5" x14ac:dyDescent="0.25">
      <c r="A23" s="6" t="s">
        <v>327</v>
      </c>
      <c r="B23" s="6" t="s">
        <v>328</v>
      </c>
    </row>
    <row r="24" spans="1:2" ht="25.5" x14ac:dyDescent="0.25">
      <c r="A24" s="6" t="s">
        <v>329</v>
      </c>
      <c r="B24" s="6" t="s">
        <v>330</v>
      </c>
    </row>
  </sheetData>
  <mergeCells count="5">
    <mergeCell ref="A19:B19"/>
    <mergeCell ref="A1:B1"/>
    <mergeCell ref="A2:B2"/>
    <mergeCell ref="A7:B7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Склад</vt:lpstr>
      <vt:lpstr>Аэропорт</vt:lpstr>
      <vt:lpstr>Медучреждение</vt:lpstr>
      <vt:lpstr>Легенда и использование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OEM</cp:lastModifiedBy>
  <cp:revision>0</cp:revision>
  <dcterms:created xsi:type="dcterms:W3CDTF">2026-08-21T09:04:04Z</dcterms:created>
  <dcterms:modified xsi:type="dcterms:W3CDTF">2026-09-14T15:15:09Z</dcterms:modified>
  <dc:language>en-US</dc:language>
</cp:coreProperties>
</file>